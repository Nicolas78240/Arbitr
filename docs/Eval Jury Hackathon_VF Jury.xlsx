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clubmedoffice.sharepoint.com/sites/AILearningClub/Documents partages/Generic Channel/Séminaire IA - Février 2026/J3 - Hackathon/"/>
    </mc:Choice>
  </mc:AlternateContent>
  <xr:revisionPtr revIDLastSave="0" documentId="8_{4E2F522E-4787-4560-AE7E-D9C4B5B3A144}" xr6:coauthVersionLast="47" xr6:coauthVersionMax="47" xr10:uidLastSave="{00000000-0000-0000-0000-000000000000}"/>
  <bookViews>
    <workbookView xWindow="-110" yWindow="-110" windowWidth="19420" windowHeight="11500" firstSheet="2" activeTab="2" xr2:uid="{EAC304E7-A021-4C49-814F-AED756136687}"/>
  </bookViews>
  <sheets>
    <sheet name="Old" sheetId="1" state="hidden" r:id="rId1"/>
    <sheet name="Jury Proposition" sheetId="2" state="hidden" r:id="rId2"/>
    <sheet name="LDAP_Security_ID_Creation" sheetId="3" r:id="rId3"/>
    <sheet name="strategic reporting" sheetId="6" r:id="rId4"/>
    <sheet name="GO Holiday" sheetId="7" r:id="rId5"/>
    <sheet name="Regulatory Watch" sheetId="8" r:id="rId6"/>
    <sheet name="Background Check" sheetId="10" r:id="rId7"/>
    <sheet name="Language Assessment" sheetId="20" r:id="rId8"/>
    <sheet name="Reception Email" sheetId="9" r:id="rId9"/>
    <sheet name="AD Program" sheetId="21" r:id="rId10"/>
    <sheet name="Intelligence Gateway" sheetId="19" r:id="rId11"/>
    <sheet name="Flight Schedule" sheetId="11" r:id="rId12"/>
    <sheet name="Automatic Refund" sheetId="18" r:id="rId13"/>
    <sheet name="PULSE" sheetId="17" r:id="rId14"/>
    <sheet name="Supplier Data Quality" sheetId="16" r:id="rId15"/>
    <sheet name="Catalog Management" sheetId="15" r:id="rId16"/>
    <sheet name="Finance Account" sheetId="14" r:id="rId17"/>
    <sheet name="Purchase Order " sheetId="12" r:id="rId18"/>
    <sheet name="Use Case #17" sheetId="13" state="hidden" r:id="rId19"/>
    <sheet name="Notes Alain Microsoft" sheetId="5" state="hidden" r:id="rId20"/>
    <sheet name="Résumé des UC" sheetId="4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2" l="1"/>
  <c r="Q5" i="12"/>
  <c r="Q6" i="12"/>
  <c r="Q7" i="12"/>
  <c r="Q8" i="12"/>
  <c r="Q9" i="12"/>
  <c r="Q13" i="12"/>
  <c r="Q14" i="12"/>
  <c r="Q15" i="12"/>
  <c r="O7" i="9"/>
  <c r="O8" i="9"/>
  <c r="O9" i="9"/>
  <c r="O11" i="9"/>
  <c r="G5" i="4"/>
  <c r="D21" i="13" l="1"/>
  <c r="D20" i="13"/>
  <c r="D5" i="4"/>
  <c r="D21" i="4" l="1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B20" i="21"/>
  <c r="B21" i="21"/>
  <c r="S5" i="21"/>
  <c r="S6" i="21"/>
  <c r="S7" i="21"/>
  <c r="S8" i="21"/>
  <c r="S9" i="21"/>
  <c r="S11" i="21"/>
  <c r="S12" i="21"/>
  <c r="S13" i="21"/>
  <c r="S14" i="21"/>
  <c r="S15" i="21"/>
  <c r="B20" i="20"/>
  <c r="B21" i="20"/>
  <c r="S5" i="20"/>
  <c r="S6" i="20"/>
  <c r="S7" i="20"/>
  <c r="S8" i="20"/>
  <c r="S9" i="20"/>
  <c r="S11" i="20"/>
  <c r="S12" i="20"/>
  <c r="S13" i="20"/>
  <c r="S14" i="20"/>
  <c r="S15" i="20"/>
  <c r="B20" i="19"/>
  <c r="B21" i="19"/>
  <c r="S5" i="19"/>
  <c r="S6" i="19"/>
  <c r="S7" i="19"/>
  <c r="S8" i="19"/>
  <c r="S9" i="19"/>
  <c r="S11" i="19"/>
  <c r="S12" i="19"/>
  <c r="S13" i="19"/>
  <c r="S14" i="19"/>
  <c r="S15" i="19"/>
  <c r="B20" i="18"/>
  <c r="B21" i="18"/>
  <c r="S5" i="18"/>
  <c r="S6" i="18"/>
  <c r="S7" i="18"/>
  <c r="S8" i="18"/>
  <c r="S9" i="18"/>
  <c r="S11" i="18"/>
  <c r="S12" i="18"/>
  <c r="S13" i="18"/>
  <c r="S14" i="18"/>
  <c r="S15" i="18"/>
  <c r="B20" i="17"/>
  <c r="B21" i="17"/>
  <c r="S5" i="17"/>
  <c r="S6" i="17"/>
  <c r="S7" i="17"/>
  <c r="S8" i="17"/>
  <c r="S9" i="17"/>
  <c r="S11" i="17"/>
  <c r="S12" i="17"/>
  <c r="S13" i="17"/>
  <c r="S14" i="17"/>
  <c r="S15" i="17"/>
  <c r="B20" i="16"/>
  <c r="B21" i="16"/>
  <c r="S5" i="16"/>
  <c r="S6" i="16"/>
  <c r="S7" i="16"/>
  <c r="S8" i="16"/>
  <c r="S9" i="16"/>
  <c r="S11" i="16"/>
  <c r="S12" i="16"/>
  <c r="S13" i="16"/>
  <c r="S14" i="16"/>
  <c r="S15" i="16"/>
  <c r="B20" i="15"/>
  <c r="B21" i="15"/>
  <c r="S5" i="15"/>
  <c r="S6" i="15"/>
  <c r="S7" i="15"/>
  <c r="S8" i="15"/>
  <c r="S9" i="15"/>
  <c r="S11" i="15"/>
  <c r="S12" i="15"/>
  <c r="S13" i="15"/>
  <c r="S14" i="15"/>
  <c r="S15" i="15"/>
  <c r="B20" i="14"/>
  <c r="B21" i="14"/>
  <c r="S5" i="14"/>
  <c r="S6" i="14"/>
  <c r="S7" i="14"/>
  <c r="S8" i="14"/>
  <c r="S9" i="14"/>
  <c r="S11" i="14"/>
  <c r="S12" i="14"/>
  <c r="S13" i="14"/>
  <c r="S14" i="14"/>
  <c r="S15" i="14"/>
  <c r="B20" i="13"/>
  <c r="B21" i="13"/>
  <c r="R5" i="13"/>
  <c r="S4" i="13" s="1"/>
  <c r="C20" i="13" s="1"/>
  <c r="R6" i="13"/>
  <c r="R7" i="13"/>
  <c r="R8" i="13"/>
  <c r="R9" i="13"/>
  <c r="R11" i="13"/>
  <c r="S10" i="13" s="1"/>
  <c r="C21" i="13" s="1"/>
  <c r="R12" i="13"/>
  <c r="R13" i="13"/>
  <c r="R14" i="13"/>
  <c r="R15" i="13"/>
  <c r="B20" i="12"/>
  <c r="B21" i="12"/>
  <c r="S5" i="12"/>
  <c r="S6" i="12"/>
  <c r="S7" i="12"/>
  <c r="S8" i="12"/>
  <c r="S9" i="12"/>
  <c r="S11" i="12"/>
  <c r="S12" i="12"/>
  <c r="S13" i="12"/>
  <c r="S14" i="12"/>
  <c r="S15" i="12"/>
  <c r="B20" i="11"/>
  <c r="B21" i="11"/>
  <c r="S5" i="11"/>
  <c r="S6" i="11"/>
  <c r="S7" i="11"/>
  <c r="S8" i="11"/>
  <c r="S9" i="11"/>
  <c r="S11" i="11"/>
  <c r="S12" i="11"/>
  <c r="S13" i="11"/>
  <c r="S14" i="11"/>
  <c r="S15" i="11"/>
  <c r="B20" i="10"/>
  <c r="B21" i="10"/>
  <c r="S5" i="10"/>
  <c r="S6" i="10"/>
  <c r="S7" i="10"/>
  <c r="S8" i="10"/>
  <c r="S9" i="10"/>
  <c r="S11" i="10"/>
  <c r="S12" i="10"/>
  <c r="S13" i="10"/>
  <c r="S14" i="10"/>
  <c r="S15" i="10"/>
  <c r="B20" i="9"/>
  <c r="B21" i="9"/>
  <c r="S5" i="9"/>
  <c r="S6" i="9"/>
  <c r="S7" i="9"/>
  <c r="S8" i="9"/>
  <c r="S9" i="9"/>
  <c r="S11" i="9"/>
  <c r="S12" i="9"/>
  <c r="S13" i="9"/>
  <c r="S14" i="9"/>
  <c r="S15" i="9"/>
  <c r="B20" i="8"/>
  <c r="B21" i="8"/>
  <c r="S5" i="8"/>
  <c r="S6" i="8"/>
  <c r="S7" i="8"/>
  <c r="S8" i="8"/>
  <c r="S9" i="8"/>
  <c r="S11" i="8"/>
  <c r="S12" i="8"/>
  <c r="S13" i="8"/>
  <c r="S14" i="8"/>
  <c r="S15" i="8"/>
  <c r="B20" i="7"/>
  <c r="B21" i="7"/>
  <c r="S5" i="7"/>
  <c r="S6" i="7"/>
  <c r="S7" i="7"/>
  <c r="S8" i="7"/>
  <c r="S9" i="7"/>
  <c r="S11" i="7"/>
  <c r="S12" i="7"/>
  <c r="S13" i="7"/>
  <c r="S14" i="7"/>
  <c r="S15" i="7"/>
  <c r="B20" i="6"/>
  <c r="B21" i="6"/>
  <c r="S5" i="6"/>
  <c r="S6" i="6"/>
  <c r="S7" i="6"/>
  <c r="S8" i="6"/>
  <c r="S9" i="6"/>
  <c r="S11" i="6"/>
  <c r="S12" i="6"/>
  <c r="S13" i="6"/>
  <c r="S14" i="6"/>
  <c r="S15" i="6"/>
  <c r="T10" i="12" l="1"/>
  <c r="C21" i="12" s="1"/>
  <c r="D21" i="12" s="1"/>
  <c r="T4" i="12"/>
  <c r="C20" i="12" s="1"/>
  <c r="D20" i="12" s="1"/>
  <c r="T10" i="14"/>
  <c r="C21" i="14" s="1"/>
  <c r="D21" i="14" s="1"/>
  <c r="T4" i="14"/>
  <c r="C20" i="14" s="1"/>
  <c r="D20" i="14" s="1"/>
  <c r="T10" i="15"/>
  <c r="C21" i="15" s="1"/>
  <c r="D21" i="15" s="1"/>
  <c r="T4" i="15"/>
  <c r="C20" i="15" s="1"/>
  <c r="D20" i="15" s="1"/>
  <c r="T10" i="16"/>
  <c r="C21" i="16" s="1"/>
  <c r="D21" i="16" s="1"/>
  <c r="T4" i="16"/>
  <c r="C20" i="16" s="1"/>
  <c r="D20" i="16" s="1"/>
  <c r="T10" i="17"/>
  <c r="C21" i="17" s="1"/>
  <c r="D21" i="17" s="1"/>
  <c r="T4" i="17"/>
  <c r="C20" i="17" s="1"/>
  <c r="D20" i="17" s="1"/>
  <c r="T10" i="18"/>
  <c r="C21" i="18" s="1"/>
  <c r="D21" i="18" s="1"/>
  <c r="T4" i="18"/>
  <c r="C20" i="18" s="1"/>
  <c r="D20" i="18" s="1"/>
  <c r="T10" i="11"/>
  <c r="C21" i="11" s="1"/>
  <c r="D21" i="11" s="1"/>
  <c r="T4" i="11"/>
  <c r="C20" i="11" s="1"/>
  <c r="D20" i="11" s="1"/>
  <c r="T10" i="19"/>
  <c r="C21" i="19" s="1"/>
  <c r="D21" i="19" s="1"/>
  <c r="T4" i="19"/>
  <c r="C20" i="19" s="1"/>
  <c r="T10" i="21"/>
  <c r="C21" i="21" s="1"/>
  <c r="D21" i="21" s="1"/>
  <c r="T4" i="21"/>
  <c r="C20" i="21" s="1"/>
  <c r="D20" i="21" s="1"/>
  <c r="T10" i="20"/>
  <c r="C21" i="20" s="1"/>
  <c r="D21" i="20" s="1"/>
  <c r="T4" i="20"/>
  <c r="C20" i="20" s="1"/>
  <c r="D20" i="20" s="1"/>
  <c r="T10" i="10"/>
  <c r="C21" i="10" s="1"/>
  <c r="D21" i="10" s="1"/>
  <c r="T4" i="10"/>
  <c r="C20" i="10" s="1"/>
  <c r="D20" i="10" s="1"/>
  <c r="T10" i="9"/>
  <c r="C21" i="9" s="1"/>
  <c r="F9" i="4" s="1"/>
  <c r="T4" i="9"/>
  <c r="C20" i="9" s="1"/>
  <c r="D20" i="9" s="1"/>
  <c r="T10" i="8"/>
  <c r="C21" i="8" s="1"/>
  <c r="D21" i="8" s="1"/>
  <c r="T4" i="8"/>
  <c r="C20" i="8" s="1"/>
  <c r="D20" i="8" s="1"/>
  <c r="T10" i="7"/>
  <c r="C21" i="7" s="1"/>
  <c r="D21" i="7" s="1"/>
  <c r="T4" i="7"/>
  <c r="C20" i="7" s="1"/>
  <c r="D20" i="7" s="1"/>
  <c r="T10" i="6"/>
  <c r="C21" i="6" s="1"/>
  <c r="D21" i="6" s="1"/>
  <c r="T4" i="6"/>
  <c r="C20" i="6" s="1"/>
  <c r="E21" i="4"/>
  <c r="B26" i="13"/>
  <c r="G21" i="4" s="1"/>
  <c r="F21" i="4"/>
  <c r="F19" i="4" l="1"/>
  <c r="E18" i="4"/>
  <c r="B26" i="19"/>
  <c r="G13" i="4" s="1"/>
  <c r="F13" i="4"/>
  <c r="E10" i="4"/>
  <c r="B26" i="18"/>
  <c r="G15" i="4" s="1"/>
  <c r="F14" i="4"/>
  <c r="F20" i="4"/>
  <c r="E20" i="4"/>
  <c r="B26" i="12"/>
  <c r="G20" i="4" s="1"/>
  <c r="B26" i="14"/>
  <c r="G19" i="4" s="1"/>
  <c r="E19" i="4"/>
  <c r="F18" i="4"/>
  <c r="B26" i="15"/>
  <c r="G18" i="4" s="1"/>
  <c r="F17" i="4"/>
  <c r="B26" i="16"/>
  <c r="G17" i="4" s="1"/>
  <c r="E17" i="4"/>
  <c r="F16" i="4"/>
  <c r="E16" i="4"/>
  <c r="B26" i="17"/>
  <c r="G16" i="4" s="1"/>
  <c r="F15" i="4"/>
  <c r="E15" i="4"/>
  <c r="E14" i="4"/>
  <c r="B26" i="11"/>
  <c r="G14" i="4" s="1"/>
  <c r="D20" i="19"/>
  <c r="E13" i="4"/>
  <c r="F12" i="4"/>
  <c r="E12" i="4"/>
  <c r="B26" i="21"/>
  <c r="G12" i="4" s="1"/>
  <c r="F11" i="4"/>
  <c r="E11" i="4"/>
  <c r="B26" i="20"/>
  <c r="G11" i="4" s="1"/>
  <c r="F10" i="4"/>
  <c r="B26" i="10"/>
  <c r="G10" i="4" s="1"/>
  <c r="D21" i="9"/>
  <c r="B26" i="9"/>
  <c r="G9" i="4" s="1"/>
  <c r="E9" i="4"/>
  <c r="B26" i="8"/>
  <c r="G8" i="4" s="1"/>
  <c r="E8" i="4"/>
  <c r="F8" i="4"/>
  <c r="B26" i="7"/>
  <c r="G7" i="4" s="1"/>
  <c r="F7" i="4"/>
  <c r="E7" i="4"/>
  <c r="E6" i="4"/>
  <c r="D20" i="6"/>
  <c r="B26" i="6"/>
  <c r="G6" i="4" s="1"/>
  <c r="F6" i="4"/>
  <c r="S12" i="3" l="1"/>
  <c r="S13" i="3"/>
  <c r="S14" i="3"/>
  <c r="S15" i="3"/>
  <c r="S11" i="3"/>
  <c r="S8" i="3"/>
  <c r="S5" i="3"/>
  <c r="B21" i="3"/>
  <c r="B20" i="3"/>
  <c r="S7" i="3"/>
  <c r="S6" i="3"/>
  <c r="S9" i="3"/>
  <c r="T4" i="3" l="1"/>
  <c r="C20" i="3" s="1"/>
  <c r="T10" i="3"/>
  <c r="C21" i="3" s="1"/>
  <c r="D21" i="3" s="1"/>
  <c r="E5" i="4" l="1"/>
  <c r="B26" i="3"/>
  <c r="D20" i="3"/>
  <c r="F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tc={E00B6AED-2B37-C142-8CCF-140C784AF4B5}</author>
  </authors>
  <commentList>
    <comment ref="F15" authorId="0" shapeId="0" xr:uid="{E00B6AED-2B37-C142-8CCF-140C784AF4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fully internal mandatory.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tc={84B3B856-4C1E-C54C-888C-FA9E4D9947B0}</author>
    <author>tc={5B23FE0C-68B5-AE42-8721-1CBC17E79041}</author>
    <author>tc={7D423BE4-B878-2442-80F0-63A9967682B0}</author>
  </authors>
  <commentList>
    <comment ref="F7" authorId="0" shapeId="0" xr:uid="{84B3B856-4C1E-C54C-888C-FA9E4D9947B0}">
      <text>
        <t>[Threaded comment]
Your version of Excel allows you to read this threaded comment; however, any edits to it will get removed if the file is opened in a newer version of Excel. Learn more: https://go.microsoft.com/fwlink/?linkid=870924
Comment:
    Warning: differnece between villages can be tricky.</t>
      </text>
    </comment>
    <comment ref="F8" authorId="1" shapeId="0" xr:uid="{5B23FE0C-68B5-AE42-8721-1CBC17E790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IA vs automatisation. Same input same output mandatoru.
</t>
      </text>
    </comment>
    <comment ref="F15" authorId="2" shapeId="0" xr:uid="{7D423BE4-B878-2442-80F0-63A9967682B0}">
      <text>
        <t>[Threaded comment]
Your version of Excel allows you to read this threaded comment; however, any edits to it will get removed if the file is opened in a newer version of Excel. Learn more: https://go.microsoft.com/fwlink/?linkid=870924
Comment:
    Depending on the data, PII can be present and must be handle with care.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tc={A844F68F-6CD1-5E43-A86A-B605CDEA6286}</author>
    <author>tc={9689FA7C-C0A5-214F-AC25-6897C6B5DEA7}</author>
  </authors>
  <commentList>
    <comment ref="F5" authorId="0" shapeId="0" xr:uid="{A844F68F-6CD1-5E43-A86A-B605CDEA6286}">
      <text>
        <t>[Threaded comment]
Your version of Excel allows you to read this threaded comment; however, any edits to it will get removed if the file is opened in a newer version of Excel. Learn more: https://go.microsoft.com/fwlink/?linkid=870924
Comment:
    2 because of impact on GOs. But the fundamental impact ao IA vs people is not that hudge...</t>
      </text>
    </comment>
    <comment ref="F15" authorId="1" shapeId="0" xr:uid="{9689FA7C-C0A5-214F-AC25-6897C6B5DEA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PII from what i understand.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tc={FD0B7649-A168-2944-B666-86D2AC10A742}</author>
    <author>tc={F290B64C-0496-D848-9730-F85D3F69BD19}</author>
    <author>tc={0E1A1106-2A7D-3D42-98CD-869C414176B1}</author>
    <author>tc={DDE278E0-9283-5F40-8C90-AC0C9AA31408}</author>
  </authors>
  <commentList>
    <comment ref="F12" authorId="0" shapeId="0" xr:uid="{FD0B7649-A168-2944-B666-86D2AC10A742}">
      <text>
        <t>[Threaded comment]
Your version of Excel allows you to read this threaded comment; however, any edits to it will get removed if the file is opened in a newer version of Excel. Learn more: https://go.microsoft.com/fwlink/?linkid=870924
Comment:
    Lot of different and moving sources</t>
      </text>
    </comment>
    <comment ref="F13" authorId="1" shapeId="0" xr:uid="{F290B64C-0496-D848-9730-F85D3F69BD19}">
      <text>
        <t>[Threaded comment]
Your version of Excel allows you to read this threaded comment; however, any edits to it will get removed if the file is opened in a newer version of Excel. Learn more: https://go.microsoft.com/fwlink/?linkid=870924
Comment:
    Yes but on a specific perimeter.</t>
      </text>
    </comment>
    <comment ref="F14" authorId="2" shapeId="0" xr:uid="{0E1A1106-2A7D-3D42-98CD-869C414176B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Too many sources. Issues with run phase to consider.
</t>
      </text>
    </comment>
    <comment ref="F15" authorId="3" shapeId="0" xr:uid="{DDE278E0-9283-5F40-8C90-AC0C9AA3140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PII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tc={B96CE031-B44E-EB4C-8E5F-475B3E8C0360}</author>
    <author>tc={6EB337A5-6EF2-744E-995D-956E110354FD}</author>
  </authors>
  <commentList>
    <comment ref="F6" authorId="0" shapeId="0" xr:uid="{B96CE031-B44E-EB4C-8E5F-475B3E8C03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Feeling that the ROI should be there but not properly defined
</t>
      </text>
    </comment>
    <comment ref="F14" authorId="1" shapeId="0" xr:uid="{6EB337A5-6EF2-744E-995D-956E110354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Mutualization with other area: procurement, legal, ...
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tc={7B6A5B43-88C5-5045-809F-313AD29EA81E}</author>
    <author>tc={C337F12B-674C-B840-9F37-471F74B26CC8}</author>
  </authors>
  <commentList>
    <comment ref="F6" authorId="0" shapeId="0" xr:uid="{7B6A5B43-88C5-5045-809F-313AD29EA81E}">
      <text>
        <t>[Threaded comment]
Your version of Excel allows you to read this threaded comment; however, any edits to it will get removed if the file is opened in a newer version of Excel. Learn more: https://go.microsoft.com/fwlink/?linkid=870924
Comment:
    Feeling ROI should be ther ebut not properly formalized.</t>
      </text>
    </comment>
    <comment ref="F15" authorId="1" shapeId="0" xr:uid="{C337F12B-674C-B840-9F37-471F74B26CC8}">
      <text>
        <t>[Threaded comment]
Your version of Excel allows you to read this threaded comment; however, any edits to it will get removed if the file is opened in a newer version of Excel. Learn more: https://go.microsoft.com/fwlink/?linkid=870924
Comment:
    PII &amp; Scoring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tc={C4135431-8978-41EC-9C3F-3725B389463E}</author>
  </authors>
  <commentList>
    <comment ref="L13" authorId="0" shapeId="0" xr:uid="{C4135431-8978-41EC-9C3F-3725B389463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According to mdel training (Prompt vs ML)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tc={ABA00EFF-282D-5A4B-9A93-DD4A0150F96C}</author>
    <author>tc={93A72F78-4071-A94F-859D-038E0F9CC616}</author>
    <author>tc={76F644F2-66B5-4F9E-B626-DB16A283F723}</author>
  </authors>
  <commentList>
    <comment ref="F9" authorId="0" shapeId="0" xr:uid="{ABA00EFF-282D-5A4B-9A93-DD4A0150F96C}">
      <text>
        <t>[Threaded comment]
Your version of Excel allows you to read this threaded comment; however, any edits to it will get removed if the file is opened in a newer version of Excel. Learn more: https://go.microsoft.com/fwlink/?linkid=870924
Comment:
    TED copilot evolv ?</t>
      </text>
    </comment>
    <comment ref="F12" authorId="1" shapeId="0" xr:uid="{93A72F78-4071-A94F-859D-038E0F9CC6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 se doute mais ce n'est pas clairement exprimé
</t>
      </text>
    </comment>
    <comment ref="L14" authorId="2" shapeId="0" xr:uid="{76F644F2-66B5-4F9E-B626-DB16A283F723}">
      <text>
        <t>[Threaded comment]
Your version of Excel allows you to read this threaded comment; however, any edits to it will get removed if the file is opened in a newer version of Excel. Learn more: https://go.microsoft.com/fwlink/?linkid=870924
Comment:
    Classical RAG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tc={27CF2DBF-6534-024C-89AA-2E5E1DC9BC67}</author>
    <author>tc={6A11D8BA-8FC8-1645-9BA2-34CA6804CE13}</author>
  </authors>
  <commentList>
    <comment ref="F11" authorId="0" shapeId="0" xr:uid="{27CF2DBF-6534-024C-89AA-2E5E1DC9BC67}">
      <text>
        <t>[Threaded comment]
Your version of Excel allows you to read this threaded comment; however, any edits to it will get removed if the file is opened in a newer version of Excel. Learn more: https://go.microsoft.com/fwlink/?linkid=870924
Comment:
    Would love to get more details on the global system, partners and impact of different technologies in our ecosystem</t>
      </text>
    </comment>
    <comment ref="F15" authorId="1" shapeId="0" xr:uid="{6A11D8BA-8FC8-1645-9BA2-34CA6804CE13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risk as before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tc={FFB4E815-FB7B-C947-9397-B401558CE9D5}</author>
  </authors>
  <commentList>
    <comment ref="F15" authorId="0" shapeId="0" xr:uid="{FFB4E815-FB7B-C947-9397-B401558CE9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Same risk as before
</t>
      </text>
    </comment>
  </commentList>
</comments>
</file>

<file path=xl/sharedStrings.xml><?xml version="1.0" encoding="utf-8"?>
<sst xmlns="http://schemas.openxmlformats.org/spreadsheetml/2006/main" count="1134" uniqueCount="208">
  <si>
    <t>Nom du Jury:</t>
  </si>
  <si>
    <t>Thème</t>
  </si>
  <si>
    <t>Critère</t>
  </si>
  <si>
    <t>Description</t>
  </si>
  <si>
    <t>Score</t>
  </si>
  <si>
    <t xml:space="preserve">UC #6 Smart affectation de tickets Jira </t>
  </si>
  <si>
    <t>UC #1 Système de pré-positionnement GO en village</t>
  </si>
  <si>
    <t>UC #2 Préconisation d’achat selon la saisonnalité et aide à la négociation</t>
  </si>
  <si>
    <t>UC #3 RAG Externe (Infos produit)</t>
  </si>
  <si>
    <t>UC #4 Recherche documentaire interne (RAG)</t>
  </si>
  <si>
    <t>UC #5 Marketing Content Versioning</t>
  </si>
  <si>
    <t>Adéquation au problème</t>
  </si>
  <si>
    <t>Compréhension du problème</t>
  </si>
  <si>
    <t>L’équipe a-t-elle bien compris et défini le problème?</t>
  </si>
  <si>
    <t>Pertinence de la solution</t>
  </si>
  <si>
    <t>La solution proposée répond-elle efficacement au problème identifié ?</t>
  </si>
  <si>
    <t>Originalité de la solution</t>
  </si>
  <si>
    <t>Innovation</t>
  </si>
  <si>
    <t>La solution est-elle innovante et créative ?</t>
  </si>
  <si>
    <t>Différenciation</t>
  </si>
  <si>
    <t>En quoi la solution se distingue-t-elle des approches existantes ?</t>
  </si>
  <si>
    <t>Degré de finalisation</t>
  </si>
  <si>
    <t>Fonctionnalité</t>
  </si>
  <si>
    <t>La solution est-elle fonctionnelle et utilisable ?</t>
  </si>
  <si>
    <t>Stabilité</t>
  </si>
  <si>
    <t>La solution fonctionne-t-elle sans bugs majeurs ?</t>
  </si>
  <si>
    <t>Qualité du code</t>
  </si>
  <si>
    <t>Lisibilité</t>
  </si>
  <si>
    <t>Le code est-il bien structuré et facile à lire ?</t>
  </si>
  <si>
    <t>Bonne pratique</t>
  </si>
  <si>
    <t>Le code suit-il les bonnes pratiques de développement (modularité, etc.) ?</t>
  </si>
  <si>
    <t>Documentation du code</t>
  </si>
  <si>
    <t>Le code est-il bien documenté avec des commentaires pertinents ?</t>
  </si>
  <si>
    <t>Clarté de la présentation</t>
  </si>
  <si>
    <t>Structure de la présentation</t>
  </si>
  <si>
    <t>La présentation est-elle bien structurée et facile à suivre ?</t>
  </si>
  <si>
    <t>Communication</t>
  </si>
  <si>
    <t>Les présentateurs ont-ils bien communiqué les points clés et répondu aux questions de manière efficace ?</t>
  </si>
  <si>
    <t>Démo de la solution</t>
  </si>
  <si>
    <t>La démonstration de la solution a-t-elle été claire et convaincante ?</t>
  </si>
  <si>
    <t>Rentabilité de la solution</t>
  </si>
  <si>
    <t>Viabilité économique</t>
  </si>
  <si>
    <t>La solution a-t-elle un potentiel de rentabilité ou d'économie significative ?</t>
  </si>
  <si>
    <t>Impact sur les coûts</t>
  </si>
  <si>
    <t>La solution permet-elle de réduire les coûts ou d'augmenter les revenus de manière significative ?</t>
  </si>
  <si>
    <t>TOTAL</t>
  </si>
  <si>
    <t>Commentaires</t>
  </si>
  <si>
    <t>UC#</t>
  </si>
  <si>
    <t>Valeur Business &amp; Impact métier</t>
  </si>
  <si>
    <t>Impact métier</t>
  </si>
  <si>
    <t>Le cas d’usage adresse-t-il un pain point concret (coûts, délais, qualité, satisfaction client, risques…) ?</t>
  </si>
  <si>
    <t>Point éliminant</t>
  </si>
  <si>
    <t>Automatisation</t>
  </si>
  <si>
    <t xml:space="preserve">Est-ce que la sloution identiféé contribue à automatiser tout un process ? </t>
  </si>
  <si>
    <t>Alignement stratégique Club Med</t>
  </si>
  <si>
    <t xml:space="preserve">Est-ce que la solution sert elle la stratégie globale Club med, pas juste un cas métier isolé ? </t>
  </si>
  <si>
    <t>référence à la grille dans la fiche de qualif</t>
  </si>
  <si>
    <t>Qualité de la qualification fonctionnelle</t>
  </si>
  <si>
    <t>red flag - on met pas de l'IA parce que c'est le thème</t>
  </si>
  <si>
    <t>Faisabilité data &amp; technique</t>
  </si>
  <si>
    <t>Peut-on en faire quelque chose de concret en quelques jours de hackathon ?</t>
  </si>
  <si>
    <t>Scalabilité</t>
  </si>
  <si>
    <t>Est-il possible de mutualiser les technos utilisées ?</t>
  </si>
  <si>
    <t>Maturité</t>
  </si>
  <si>
    <t>Maturité suffisante pour un POC / hackathon</t>
  </si>
  <si>
    <t>Adoption &amp; opérationnalisation</t>
  </si>
  <si>
    <t>Bénéfices clairs pour les utilisateurs finaux</t>
  </si>
  <si>
    <t>Besoin de conduite du changement identifié</t>
  </si>
  <si>
    <t>Potentiel Hackathon Microsoft</t>
  </si>
  <si>
    <t>Compatibilité avec écosystème Microsoft</t>
  </si>
  <si>
    <t>Copilot / Azure AI
Power Platform
Data / intégrations</t>
  </si>
  <si>
    <t>Use case # 1</t>
  </si>
  <si>
    <t>LDAP_Security_ID_Creation</t>
  </si>
  <si>
    <t xml:space="preserve">Description </t>
  </si>
  <si>
    <t>Echelle</t>
  </si>
  <si>
    <t>Cédric 
Baillet</t>
  </si>
  <si>
    <t>Nicolas Bresch</t>
  </si>
  <si>
    <t>Quentin 
Briard</t>
  </si>
  <si>
    <t>Nicolas Caussin</t>
  </si>
  <si>
    <t>Amina Chaabane</t>
  </si>
  <si>
    <t>Siddhartha Chatterjee</t>
  </si>
  <si>
    <t>Julien 
Denis</t>
  </si>
  <si>
    <t>Caroline Launois-Beaurain</t>
  </si>
  <si>
    <t>Armelle Vimont Laurent</t>
  </si>
  <si>
    <t>Sophie Parisot Bouelam</t>
  </si>
  <si>
    <t>Franck Picabea</t>
  </si>
  <si>
    <t>Yoann Spadavecchia</t>
  </si>
  <si>
    <t>Richard Douville</t>
  </si>
  <si>
    <t>Score (0–5)</t>
  </si>
  <si>
    <t>Score Final</t>
  </si>
  <si>
    <t xml:space="preserve">Valeur Business </t>
  </si>
  <si>
    <t xml:space="preserve">Impact métier </t>
  </si>
  <si>
    <t>A quel point le cas d’usage adresse-t-il un pain point clair, prioritaire et concret (coûts, délais, qualité, satisfaction client, risques) ?</t>
  </si>
  <si>
    <t>0 = aucun paint point identifié / 5 = pain point avec fort impact et reconnu</t>
  </si>
  <si>
    <t>A quel point le cas d'usage présente-t-il un potentiel de ROI crédible et réaliste (économies, gains de productivité, amélioration de la qualité) ?</t>
  </si>
  <si>
    <t>0 = aucun ROI objectivé  / 5 = ROI clair et élévé</t>
  </si>
  <si>
    <t>A quel niveau la solution permet-elle d’automatiser un processus métier (vs simple aide ponctuelle) ?</t>
  </si>
  <si>
    <t>0 = aide marginale / 5 = automatisation de bout en bout</t>
  </si>
  <si>
    <t>Effet différenciant</t>
  </si>
  <si>
    <t>Ce cas d’usage a-t-il un potentiel de transformation visible ("whaou") pour nos métiers ou clients ?</t>
  </si>
  <si>
    <t>0 – Aucun effet différenciant / 5 – Effet “Whaou” stratégique</t>
  </si>
  <si>
    <t>Cohérence stratégique</t>
  </si>
  <si>
    <t>A quel point le cas d’usage est aligné avec les priorités stratégiques Club Med (excellence opérationnelle, expérience client, scalabilité) au-delà d'un besoin local ?</t>
  </si>
  <si>
    <t>0 = aucun lien avec la stratégie / 5 = alignement majeur</t>
  </si>
  <si>
    <t>Maturité du Use Case</t>
  </si>
  <si>
    <t>Qualité  du cadrage fonctionnel</t>
  </si>
  <si>
    <t>A quel niveau le périmètre, les objectifs et les hypothèses sont-ils clairement définis ?</t>
  </si>
  <si>
    <t>0 = très flou / 5 = cadrage exemplaire</t>
  </si>
  <si>
    <t>Accessibilité / Disponiblité des données</t>
  </si>
  <si>
    <t>A quel point les données nécessaires sont-elles identifiées, existantes et accessibles (CRM, formulaires, historiques, etc.) ?</t>
  </si>
  <si>
    <t>0 = données inexistantes / 5 = données prêtes à l'emploi</t>
  </si>
  <si>
    <t>Maturité POC / Hackathon</t>
  </si>
  <si>
    <t>Compte tenu des données, du cadrage et des dépendances, peut-on produire un résultat concret en hackathon ?</t>
  </si>
  <si>
    <t>0 = irréaliste / 3 = squads / 5 = hackaton ready</t>
  </si>
  <si>
    <t>Scalabilité technique</t>
  </si>
  <si>
    <t>Dans quelle mesure les technologies envisagées sont-elles mutualisables et industrialisables ?</t>
  </si>
  <si>
    <t>0 = non scalable / 5 = scalabilité native</t>
  </si>
  <si>
    <t>Confidentialité des données</t>
  </si>
  <si>
    <t xml:space="preserve">A quel point les enjeux de confidentialité, de sécurité et de conformité RGPD sont ils maîtrisés et compatibles avec une mise en œuvre de ce  cas d'usage ? </t>
  </si>
  <si>
    <t>0 = risque majeur / 5 = conformité by design</t>
  </si>
  <si>
    <t>RESULTATS CONSOLIDES</t>
  </si>
  <si>
    <t xml:space="preserve">Ce scoring vous permettra de projeter ces différents cas d'usage sur la matrice pour une vue consolidée finale. </t>
  </si>
  <si>
    <t>POSITIONNEMENT FINAL :
- Sélectionné pour le hackathon
 - Backlog pour les squads IA
- A développer en self-service</t>
  </si>
  <si>
    <t>Légende :</t>
  </si>
  <si>
    <t>Valeur &lt; 3 - Hors priorité
Valeur ≥ 4 &amp; Faisabilité ≥ 4  - Hackathon
Valeur ≥ 4 &amp; Faisabilité &lt; 4 - Backlog projet
Valeur entre 3 et &lt;4 &amp; Faisabilité ≥ 4 - Self AI
Autre - Backlog projet (par défaut)</t>
  </si>
  <si>
    <t>Use case # 2</t>
  </si>
  <si>
    <t>Automation for strategic reporting - AI Data driven approach to operations financial management</t>
  </si>
  <si>
    <t>0 = irréaliste / 5 = hackaton ready</t>
  </si>
  <si>
    <t>Use case # 3</t>
  </si>
  <si>
    <t>GO Holidays perimeter automation</t>
  </si>
  <si>
    <t>Franck 
Picabea</t>
  </si>
  <si>
    <t>Use case # 4</t>
  </si>
  <si>
    <t>Regulatory watch</t>
  </si>
  <si>
    <t>Franck
Picabea</t>
  </si>
  <si>
    <t>Use case # 6</t>
  </si>
  <si>
    <t>Background Check</t>
  </si>
  <si>
    <t>POSITIONNEMENT FINAL :
- Sélectionné pour le hackathon
- Backlog pour les squads IA
- A développer en self-service</t>
  </si>
  <si>
    <t>Use case # 7</t>
  </si>
  <si>
    <t>Language Assessment</t>
  </si>
  <si>
    <t>Use case # 5</t>
  </si>
  <si>
    <t>Reception Email</t>
  </si>
  <si>
    <t>Use case # 8</t>
  </si>
  <si>
    <t>A/D Program</t>
  </si>
  <si>
    <t>Pas un projet IA</t>
  </si>
  <si>
    <t>Corriger N/A vers PMS</t>
  </si>
  <si>
    <t>Use case # 9</t>
  </si>
  <si>
    <t>Intelligence Gateway</t>
  </si>
  <si>
    <t>Attention pas un process</t>
  </si>
  <si>
    <t>Use case # 10</t>
  </si>
  <si>
    <t>Flight Schedule</t>
  </si>
  <si>
    <t>Use case # 11</t>
  </si>
  <si>
    <t>Automatic Refund</t>
  </si>
  <si>
    <t>Use case # 12</t>
  </si>
  <si>
    <t>PULSE</t>
  </si>
  <si>
    <t>Richrd Douville</t>
  </si>
  <si>
    <t>Use case # 13</t>
  </si>
  <si>
    <t>Supplier Data Quality</t>
  </si>
  <si>
    <t>Use case # 14</t>
  </si>
  <si>
    <t>Catalog Management</t>
  </si>
  <si>
    <t>Yoann SPADAVECCHIA</t>
  </si>
  <si>
    <t>Use case # 15</t>
  </si>
  <si>
    <t>Finance Account</t>
  </si>
  <si>
    <t>Use case # 16</t>
  </si>
  <si>
    <t>Purchase Order</t>
  </si>
  <si>
    <t>Pas de note</t>
  </si>
  <si>
    <t>To be disqaulified</t>
  </si>
  <si>
    <t>Je ne comprends pas</t>
  </si>
  <si>
    <t>Use case # 17</t>
  </si>
  <si>
    <t xml:space="preserve">ROI attendu du cas d'usage </t>
  </si>
  <si>
    <t xml:space="preserve">Est-ce que l'impact business est important ? </t>
  </si>
  <si>
    <t>0 = faible impact / 5 = fort impact</t>
  </si>
  <si>
    <t xml:space="preserve">Besoin de s'aligner sur l'unité de mesure des ROI pour évaluer tous les cas d'usage par rapport à ça (temps gagné ou économies en euros)
ETP libérés ? </t>
  </si>
  <si>
    <t xml:space="preserve">Est-ce que le cas d'usage est facilement réalisable ? </t>
  </si>
  <si>
    <t>0 = rien / 3 = prototype en 3j / 5 = poc en 3j</t>
  </si>
  <si>
    <t>Est-ce qu'on embarque les sujets self-services pendant le hackathon (on peut réunir 2-3 cas simples dans la même équipe)</t>
  </si>
  <si>
    <t>Accessibilité de plateformes tierces nécessaires au développement</t>
  </si>
  <si>
    <t>Avoir les ressources humaines, les accès, les plateformes de test, les données, disponibilité des données</t>
  </si>
  <si>
    <t xml:space="preserve">Facilité </t>
  </si>
  <si>
    <t xml:space="preserve">Compliance </t>
  </si>
  <si>
    <t>Alignement des priorités stratégiques</t>
  </si>
  <si>
    <t>Point bonus : breakthrough use case "waow effect"</t>
  </si>
  <si>
    <t>Possibilité d'expansion ? Réutilisation sur un autre use case ? (ex. agent qui évalue la langue, il pourrait aussi aider les GOs à s'améliorer en langue)</t>
  </si>
  <si>
    <t xml:space="preserve">Hackathon : </t>
  </si>
  <si>
    <t xml:space="preserve">30 personnes max </t>
  </si>
  <si>
    <t xml:space="preserve">Groupes de 5 </t>
  </si>
  <si>
    <t>6 groupes à accueillir</t>
  </si>
  <si>
    <t>TABLEAU RECAPITULATIF</t>
  </si>
  <si>
    <t>Intitulé UC</t>
  </si>
  <si>
    <t>Valeur Business</t>
  </si>
  <si>
    <r>
      <t xml:space="preserve">Catégorie 
</t>
    </r>
    <r>
      <rPr>
        <b/>
        <i/>
        <sz val="10"/>
        <color rgb="FFFFFFFF"/>
        <rFont val="Aptos Narrow"/>
        <family val="2"/>
        <scheme val="minor"/>
      </rPr>
      <t>(Backlog, Self AI, MS Hackaton, Non prioritaire)</t>
    </r>
  </si>
  <si>
    <t>Use case #1</t>
  </si>
  <si>
    <t>Use case #2</t>
  </si>
  <si>
    <t>Use case #3</t>
  </si>
  <si>
    <t>Use case #4</t>
  </si>
  <si>
    <t>Use case #5</t>
  </si>
  <si>
    <t>Use case #6</t>
  </si>
  <si>
    <t>Use case #7</t>
  </si>
  <si>
    <t>Use case #8</t>
  </si>
  <si>
    <t>Use case #9</t>
  </si>
  <si>
    <t>Use case #10</t>
  </si>
  <si>
    <t>Use case #11</t>
  </si>
  <si>
    <t>Use case #12</t>
  </si>
  <si>
    <t>Use case #13</t>
  </si>
  <si>
    <t>Use case #14</t>
  </si>
  <si>
    <t>Use case #15</t>
  </si>
  <si>
    <t>Use case #16</t>
  </si>
  <si>
    <t>Use case #17</t>
  </si>
  <si>
    <t>Please don't modify this page 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</si>
</sst>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>
    <font>
      <sz val="11"/>
      <color theme="1"/>
      <name val="Aptos Narrow"/>
      <family val="2"/>
      <scheme val="minor"/>
    </font>
    <font>
      <sz val="18"/>
      <name val="Arial"/>
    </font>
    <font>
      <sz val="10.5"/>
      <color rgb="FF000000"/>
      <name val="Inter ExtraLight"/>
    </font>
    <font>
      <sz val="10"/>
      <color rgb="FF000000"/>
      <name val="Inter ExtraLight"/>
    </font>
    <font>
      <sz val="16"/>
      <color rgb="FF000000"/>
      <name val="Inter Black Italic"/>
    </font>
    <font>
      <sz val="14"/>
      <color theme="1"/>
      <name val="Aptos Narrow"/>
      <family val="2"/>
      <scheme val="minor"/>
    </font>
    <font>
      <b/>
      <sz val="12"/>
      <color rgb="FFFFFFFF"/>
      <name val="Newsreader 24pt ExtraBold"/>
    </font>
    <font>
      <b/>
      <sz val="14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b/>
      <sz val="14"/>
      <color theme="9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i/>
      <sz val="10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8"/>
      <name val="Arial"/>
      <family val="2"/>
    </font>
    <font>
      <sz val="11"/>
      <color rgb="FFFF000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6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BADFA"/>
        <bgColor indexed="64"/>
      </patternFill>
    </fill>
    <fill>
      <patternFill patternType="solid">
        <fgColor rgb="FFDEE3FD"/>
        <bgColor indexed="64"/>
      </patternFill>
    </fill>
    <fill>
      <patternFill patternType="solid">
        <fgColor rgb="FFEFF1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thin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rgb="FFFFFFFF"/>
      </right>
      <top/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3" borderId="2" xfId="0" applyFont="1" applyFill="1" applyBorder="1" applyAlignment="1">
      <alignment horizontal="left" vertical="center" wrapText="1" indent="1" readingOrder="1"/>
    </xf>
    <xf numFmtId="0" fontId="3" fillId="3" borderId="2" xfId="0" applyFont="1" applyFill="1" applyBorder="1" applyAlignment="1">
      <alignment horizontal="left" vertical="center" wrapText="1" inden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1" fillId="4" borderId="3" xfId="0" applyFont="1" applyFill="1" applyBorder="1" applyAlignment="1">
      <alignment horizontal="right" vertical="center" wrapText="1" indent="1"/>
    </xf>
    <xf numFmtId="0" fontId="2" fillId="4" borderId="3" xfId="0" applyFont="1" applyFill="1" applyBorder="1" applyAlignment="1">
      <alignment horizontal="left" vertical="center" wrapText="1" indent="1" readingOrder="1"/>
    </xf>
    <xf numFmtId="0" fontId="3" fillId="4" borderId="3" xfId="0" applyFont="1" applyFill="1" applyBorder="1" applyAlignment="1">
      <alignment horizontal="left" vertical="center" wrapText="1" inden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left" vertical="center" wrapText="1" indent="1" readingOrder="1"/>
    </xf>
    <xf numFmtId="0" fontId="3" fillId="3" borderId="3" xfId="0" applyFont="1" applyFill="1" applyBorder="1" applyAlignment="1">
      <alignment horizontal="left" vertical="center" wrapText="1" inden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1" fillId="3" borderId="3" xfId="0" applyFont="1" applyFill="1" applyBorder="1" applyAlignment="1">
      <alignment horizontal="right" vertical="center" wrapText="1" indent="1"/>
    </xf>
    <xf numFmtId="0" fontId="4" fillId="3" borderId="3" xfId="0" applyFont="1" applyFill="1" applyBorder="1" applyAlignment="1">
      <alignment horizontal="center" vertical="center" wrapText="1" readingOrder="1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left" vertical="center" wrapText="1" indent="1" readingOrder="1"/>
    </xf>
    <xf numFmtId="0" fontId="3" fillId="4" borderId="9" xfId="0" applyFont="1" applyFill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center" vertical="center" wrapText="1" readingOrder="1"/>
    </xf>
    <xf numFmtId="0" fontId="0" fillId="0" borderId="0" xfId="0" applyAlignment="1">
      <alignment vertical="center"/>
    </xf>
    <xf numFmtId="0" fontId="3" fillId="0" borderId="2" xfId="0" applyFont="1" applyBorder="1" applyAlignment="1">
      <alignment horizontal="left" vertical="center" wrapText="1" readingOrder="1"/>
    </xf>
    <xf numFmtId="0" fontId="2" fillId="0" borderId="3" xfId="0" applyFont="1" applyBorder="1" applyAlignment="1">
      <alignment horizontal="left" vertical="center" wrapText="1" readingOrder="1"/>
    </xf>
    <xf numFmtId="0" fontId="3" fillId="0" borderId="3" xfId="0" applyFont="1" applyBorder="1" applyAlignment="1">
      <alignment horizontal="left" vertical="center" wrapText="1" readingOrder="1"/>
    </xf>
    <xf numFmtId="0" fontId="1" fillId="0" borderId="3" xfId="0" applyFont="1" applyBorder="1" applyAlignment="1">
      <alignment horizontal="right" vertical="center" wrapText="1"/>
    </xf>
    <xf numFmtId="0" fontId="7" fillId="0" borderId="15" xfId="0" applyFont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 wrapText="1" readingOrder="1"/>
    </xf>
    <xf numFmtId="0" fontId="8" fillId="2" borderId="19" xfId="0" applyFont="1" applyFill="1" applyBorder="1" applyAlignment="1">
      <alignment horizontal="center" vertical="center" wrapText="1" readingOrder="1"/>
    </xf>
    <xf numFmtId="0" fontId="11" fillId="4" borderId="18" xfId="0" applyFont="1" applyFill="1" applyBorder="1" applyAlignment="1">
      <alignment horizontal="right" vertical="center" wrapText="1"/>
    </xf>
    <xf numFmtId="0" fontId="10" fillId="4" borderId="0" xfId="0" applyFont="1" applyFill="1" applyAlignment="1">
      <alignment horizontal="left" vertical="center" wrapText="1" readingOrder="1"/>
    </xf>
    <xf numFmtId="1" fontId="10" fillId="4" borderId="0" xfId="0" applyNumberFormat="1" applyFont="1" applyFill="1" applyAlignment="1">
      <alignment horizontal="center" vertical="center" wrapText="1" readingOrder="1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0" fillId="0" borderId="18" xfId="0" applyBorder="1" applyAlignment="1">
      <alignment vertical="center"/>
    </xf>
    <xf numFmtId="0" fontId="3" fillId="0" borderId="11" xfId="0" applyFont="1" applyBorder="1" applyAlignment="1">
      <alignment horizontal="left" vertical="center" wrapText="1" readingOrder="1"/>
    </xf>
    <xf numFmtId="0" fontId="2" fillId="0" borderId="12" xfId="0" applyFont="1" applyBorder="1" applyAlignment="1">
      <alignment horizontal="left" vertical="center" wrapText="1" readingOrder="1"/>
    </xf>
    <xf numFmtId="0" fontId="2" fillId="0" borderId="16" xfId="0" applyFont="1" applyBorder="1" applyAlignment="1">
      <alignment horizontal="left" vertical="center" wrapText="1" readingOrder="1"/>
    </xf>
    <xf numFmtId="0" fontId="3" fillId="0" borderId="22" xfId="0" applyFont="1" applyBorder="1" applyAlignment="1">
      <alignment horizontal="left" vertical="center" wrapText="1" readingOrder="1"/>
    </xf>
    <xf numFmtId="0" fontId="3" fillId="0" borderId="22" xfId="0" applyFont="1" applyBorder="1" applyAlignment="1">
      <alignment horizontal="center" vertical="center" wrapText="1" readingOrder="1"/>
    </xf>
    <xf numFmtId="0" fontId="1" fillId="0" borderId="22" xfId="0" applyFont="1" applyBorder="1" applyAlignment="1">
      <alignment horizontal="right" vertical="center" wrapText="1"/>
    </xf>
    <xf numFmtId="0" fontId="2" fillId="0" borderId="22" xfId="0" applyFont="1" applyBorder="1" applyAlignment="1">
      <alignment horizontal="left" vertical="center" wrapText="1" readingOrder="1"/>
    </xf>
    <xf numFmtId="0" fontId="15" fillId="4" borderId="0" xfId="0" applyFont="1" applyFill="1" applyAlignment="1">
      <alignment horizontal="left" vertical="center" wrapText="1" readingOrder="1"/>
    </xf>
    <xf numFmtId="0" fontId="10" fillId="5" borderId="0" xfId="0" applyFont="1" applyFill="1" applyAlignment="1">
      <alignment horizontal="center" vertical="center" wrapText="1" readingOrder="1"/>
    </xf>
    <xf numFmtId="0" fontId="11" fillId="4" borderId="13" xfId="0" applyFont="1" applyFill="1" applyBorder="1" applyAlignment="1">
      <alignment horizontal="right" vertical="center" wrapText="1"/>
    </xf>
    <xf numFmtId="0" fontId="10" fillId="4" borderId="14" xfId="0" applyFont="1" applyFill="1" applyBorder="1" applyAlignment="1">
      <alignment horizontal="left" vertical="center" wrapText="1" readingOrder="1"/>
    </xf>
    <xf numFmtId="0" fontId="11" fillId="4" borderId="14" xfId="0" applyFont="1" applyFill="1" applyBorder="1" applyAlignment="1">
      <alignment horizontal="left" vertical="center" wrapText="1" readingOrder="1"/>
    </xf>
    <xf numFmtId="0" fontId="15" fillId="4" borderId="14" xfId="0" applyFont="1" applyFill="1" applyBorder="1" applyAlignment="1">
      <alignment horizontal="left" vertical="center" wrapText="1" readingOrder="1"/>
    </xf>
    <xf numFmtId="0" fontId="10" fillId="5" borderId="14" xfId="0" applyFont="1" applyFill="1" applyBorder="1" applyAlignment="1">
      <alignment horizontal="center" vertical="center" wrapText="1" readingOrder="1"/>
    </xf>
    <xf numFmtId="0" fontId="10" fillId="5" borderId="20" xfId="0" applyFont="1" applyFill="1" applyBorder="1" applyAlignment="1">
      <alignment horizontal="left" vertical="center" wrapText="1" readingOrder="1"/>
    </xf>
    <xf numFmtId="0" fontId="10" fillId="5" borderId="21" xfId="0" applyFont="1" applyFill="1" applyBorder="1" applyAlignment="1">
      <alignment horizontal="left" vertical="center" wrapText="1" readingOrder="1"/>
    </xf>
    <xf numFmtId="0" fontId="10" fillId="5" borderId="21" xfId="0" applyFont="1" applyFill="1" applyBorder="1" applyAlignment="1">
      <alignment horizontal="center" vertical="center" wrapText="1" readingOrder="1"/>
    </xf>
    <xf numFmtId="1" fontId="10" fillId="5" borderId="21" xfId="0" applyNumberFormat="1" applyFont="1" applyFill="1" applyBorder="1" applyAlignment="1">
      <alignment horizontal="center" vertical="center" wrapText="1" readingOrder="1"/>
    </xf>
    <xf numFmtId="0" fontId="10" fillId="5" borderId="18" xfId="0" applyFont="1" applyFill="1" applyBorder="1" applyAlignment="1">
      <alignment horizontal="left" vertical="center" wrapText="1" readingOrder="1"/>
    </xf>
    <xf numFmtId="0" fontId="10" fillId="5" borderId="0" xfId="0" applyFont="1" applyFill="1" applyAlignment="1">
      <alignment horizontal="left" vertical="center" wrapText="1" readingOrder="1"/>
    </xf>
    <xf numFmtId="1" fontId="10" fillId="5" borderId="0" xfId="0" applyNumberFormat="1" applyFont="1" applyFill="1" applyAlignment="1">
      <alignment horizontal="center" vertical="center" wrapText="1" readingOrder="1"/>
    </xf>
    <xf numFmtId="0" fontId="16" fillId="0" borderId="0" xfId="0" applyFont="1" applyAlignment="1">
      <alignment vertical="center"/>
    </xf>
    <xf numFmtId="0" fontId="17" fillId="5" borderId="17" xfId="0" applyFont="1" applyFill="1" applyBorder="1" applyAlignment="1">
      <alignment horizontal="left" vertical="center" wrapText="1" readingOrder="1"/>
    </xf>
    <xf numFmtId="0" fontId="18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0" fillId="5" borderId="17" xfId="0" applyFont="1" applyFill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left" vertical="center" wrapText="1" readingOrder="1"/>
    </xf>
    <xf numFmtId="1" fontId="10" fillId="4" borderId="23" xfId="0" applyNumberFormat="1" applyFont="1" applyFill="1" applyBorder="1" applyAlignment="1">
      <alignment horizontal="center" vertical="center" wrapText="1" readingOrder="1"/>
    </xf>
    <xf numFmtId="0" fontId="0" fillId="0" borderId="0" xfId="0" applyAlignment="1">
      <alignment wrapText="1"/>
    </xf>
    <xf numFmtId="1" fontId="10" fillId="4" borderId="24" xfId="0" applyNumberFormat="1" applyFont="1" applyFill="1" applyBorder="1" applyAlignment="1">
      <alignment horizontal="center" vertical="center" wrapText="1" readingOrder="1"/>
    </xf>
    <xf numFmtId="0" fontId="20" fillId="0" borderId="0" xfId="0" applyFont="1" applyAlignment="1">
      <alignment vertical="center" wrapText="1"/>
    </xf>
    <xf numFmtId="0" fontId="21" fillId="6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3" xfId="0" applyFont="1" applyBorder="1" applyAlignment="1">
      <alignment horizontal="right" vertical="center" wrapText="1"/>
    </xf>
    <xf numFmtId="0" fontId="24" fillId="0" borderId="22" xfId="0" applyFont="1" applyBorder="1" applyAlignment="1">
      <alignment horizontal="right" vertical="center" wrapText="1"/>
    </xf>
    <xf numFmtId="0" fontId="10" fillId="7" borderId="17" xfId="0" applyFont="1" applyFill="1" applyBorder="1" applyAlignment="1">
      <alignment horizontal="left" vertical="center" wrapText="1" readingOrder="1"/>
    </xf>
    <xf numFmtId="164" fontId="22" fillId="8" borderId="0" xfId="0" applyNumberFormat="1" applyFont="1" applyFill="1" applyAlignment="1">
      <alignment horizontal="center" vertical="center"/>
    </xf>
    <xf numFmtId="164" fontId="10" fillId="5" borderId="0" xfId="0" applyNumberFormat="1" applyFont="1" applyFill="1" applyAlignment="1">
      <alignment horizontal="center" vertical="center" wrapText="1" readingOrder="1"/>
    </xf>
    <xf numFmtId="164" fontId="10" fillId="5" borderId="14" xfId="0" applyNumberFormat="1" applyFont="1" applyFill="1" applyBorder="1" applyAlignment="1">
      <alignment horizontal="center" vertical="center" wrapText="1" readingOrder="1"/>
    </xf>
    <xf numFmtId="164" fontId="10" fillId="5" borderId="21" xfId="0" applyNumberFormat="1" applyFont="1" applyFill="1" applyBorder="1" applyAlignment="1">
      <alignment horizontal="center" vertical="center" wrapText="1" readingOrder="1"/>
    </xf>
    <xf numFmtId="164" fontId="10" fillId="5" borderId="17" xfId="0" applyNumberFormat="1" applyFont="1" applyFill="1" applyBorder="1" applyAlignment="1">
      <alignment horizontal="center" vertical="center" wrapText="1" readingOrder="1"/>
    </xf>
    <xf numFmtId="0" fontId="0" fillId="0" borderId="17" xfId="0" applyBorder="1" applyAlignment="1">
      <alignment vertical="center"/>
    </xf>
    <xf numFmtId="0" fontId="23" fillId="8" borderId="0" xfId="0" applyFont="1" applyFill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 wrapText="1" readingOrder="1"/>
    </xf>
    <xf numFmtId="164" fontId="10" fillId="4" borderId="24" xfId="0" applyNumberFormat="1" applyFont="1" applyFill="1" applyBorder="1" applyAlignment="1">
      <alignment horizontal="center" vertical="center" wrapText="1" readingOrder="1"/>
    </xf>
    <xf numFmtId="164" fontId="10" fillId="4" borderId="23" xfId="0" applyNumberFormat="1" applyFont="1" applyFill="1" applyBorder="1" applyAlignment="1">
      <alignment horizontal="center" vertical="center" wrapText="1" readingOrder="1"/>
    </xf>
    <xf numFmtId="164" fontId="0" fillId="0" borderId="0" xfId="0" applyNumberFormat="1" applyAlignment="1">
      <alignment vertical="center"/>
    </xf>
    <xf numFmtId="0" fontId="10" fillId="7" borderId="17" xfId="0" applyFont="1" applyFill="1" applyBorder="1" applyAlignment="1">
      <alignment horizontal="center" vertical="center" wrapText="1" readingOrder="1"/>
    </xf>
    <xf numFmtId="0" fontId="25" fillId="0" borderId="0" xfId="0" applyFont="1" applyAlignment="1">
      <alignment vertical="center"/>
    </xf>
    <xf numFmtId="0" fontId="26" fillId="11" borderId="0" xfId="0" applyFont="1" applyFill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4" fillId="3" borderId="4" xfId="0" applyFont="1" applyFill="1" applyBorder="1" applyAlignment="1">
      <alignment horizontal="center" vertical="center" wrapText="1" readingOrder="1"/>
    </xf>
    <xf numFmtId="0" fontId="4" fillId="3" borderId="5" xfId="0" applyFont="1" applyFill="1" applyBorder="1" applyAlignment="1">
      <alignment horizontal="center" vertical="center" wrapText="1" readingOrder="1"/>
    </xf>
    <xf numFmtId="0" fontId="4" fillId="3" borderId="6" xfId="0" applyFont="1" applyFill="1" applyBorder="1" applyAlignment="1">
      <alignment horizontal="center" vertical="center" wrapText="1" readingOrder="1"/>
    </xf>
    <xf numFmtId="0" fontId="2" fillId="3" borderId="8" xfId="0" applyFont="1" applyFill="1" applyBorder="1" applyAlignment="1">
      <alignment horizontal="left" vertical="center" wrapText="1" readingOrder="1"/>
    </xf>
    <xf numFmtId="0" fontId="2" fillId="3" borderId="7" xfId="0" applyFont="1" applyFill="1" applyBorder="1" applyAlignment="1">
      <alignment horizontal="left" vertical="center" wrapText="1" readingOrder="1"/>
    </xf>
    <xf numFmtId="0" fontId="9" fillId="9" borderId="10" xfId="0" applyFont="1" applyFill="1" applyBorder="1" applyAlignment="1">
      <alignment horizontal="left" vertical="center"/>
    </xf>
    <xf numFmtId="0" fontId="7" fillId="10" borderId="0" xfId="0" applyFont="1" applyFill="1" applyAlignment="1">
      <alignment horizontal="left" vertical="center" wrapText="1"/>
    </xf>
    <xf numFmtId="0" fontId="9" fillId="0" borderId="1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Matrice de priorisation des Uses Cases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'Résumé des UC'!$D$5:$D$21</c:f>
              <c:strCache>
                <c:ptCount val="17"/>
                <c:pt idx="0">
                  <c:v>LDAP_Security_ID_Creation</c:v>
                </c:pt>
                <c:pt idx="1">
                  <c:v>Automation for strategic reporting - AI Data driven approach to operations financial management</c:v>
                </c:pt>
                <c:pt idx="2">
                  <c:v>GO Holidays perimeter automation</c:v>
                </c:pt>
                <c:pt idx="3">
                  <c:v>Regulatory watch</c:v>
                </c:pt>
                <c:pt idx="4">
                  <c:v>Reception Email</c:v>
                </c:pt>
                <c:pt idx="5">
                  <c:v>Background Check</c:v>
                </c:pt>
                <c:pt idx="6">
                  <c:v>Language Assessment</c:v>
                </c:pt>
                <c:pt idx="7">
                  <c:v>A/D Program</c:v>
                </c:pt>
                <c:pt idx="8">
                  <c:v>Intelligence Gateway</c:v>
                </c:pt>
                <c:pt idx="9">
                  <c:v>Flight Schedule</c:v>
                </c:pt>
                <c:pt idx="10">
                  <c:v>Automatic Refund</c:v>
                </c:pt>
                <c:pt idx="11">
                  <c:v>PULSE</c:v>
                </c:pt>
                <c:pt idx="12">
                  <c:v>Supplier Data Quality</c:v>
                </c:pt>
                <c:pt idx="13">
                  <c:v>Catalog Management</c:v>
                </c:pt>
                <c:pt idx="14">
                  <c:v>Finance Account</c:v>
                </c:pt>
                <c:pt idx="15">
                  <c:v>Purchase Order</c:v>
                </c:pt>
                <c:pt idx="16">
                  <c:v>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1021108-39B0-4D68-9857-701B114BDD6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B7B0-4732-86FB-BBC59FFB299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1314C2C-DDAC-4167-BF8A-05916C1CAFB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B7B0-4732-86FB-BBC59FFB299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D715C0B-EFDF-4476-BABF-66AD8583C6D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B7B0-4732-86FB-BBC59FFB299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83D6B01-6DED-4BA8-8FC8-9704A95C365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B7B0-4732-86FB-BBC59FFB299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0BA071D-586A-4FA1-963E-A6C527F0DF8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B7B0-4732-86FB-BBC59FFB299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19ABC11-0128-4937-ABA6-EE98626E1E9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B7B0-4732-86FB-BBC59FFB299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D9E892E-F1D5-4808-A237-892103350EF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B7B0-4732-86FB-BBC59FFB299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6170CAB-DDE9-4429-BF74-F7EF488F8C3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B7B0-4732-86FB-BBC59FFB299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D271C46-3FC9-43FF-A4EC-9E5D9CC9E05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B7B0-4732-86FB-BBC59FFB299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F213134-1515-424F-8AE4-61012E95C4A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B7B0-4732-86FB-BBC59FFB2994}"/>
                </c:ext>
              </c:extLst>
            </c:dLbl>
            <c:dLbl>
              <c:idx val="10"/>
              <c:layout>
                <c:manualLayout>
                  <c:x val="-7.3404695798750278E-3"/>
                  <c:y val="-1.450915170675879E-2"/>
                </c:manualLayout>
              </c:layout>
              <c:tx>
                <c:rich>
                  <a:bodyPr/>
                  <a:lstStyle/>
                  <a:p>
                    <a:fld id="{AA9AC1A8-08BF-4C69-8305-6F4F7FAE852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B7B0-4732-86FB-BBC59FFB2994}"/>
                </c:ext>
              </c:extLst>
            </c:dLbl>
            <c:dLbl>
              <c:idx val="11"/>
              <c:layout>
                <c:manualLayout>
                  <c:x val="-9.7871797108315114E-17"/>
                  <c:y val="-1.2406791426116713E-2"/>
                </c:manualLayout>
              </c:layout>
              <c:tx>
                <c:rich>
                  <a:bodyPr/>
                  <a:lstStyle/>
                  <a:p>
                    <a:fld id="{6FF5AA8B-D133-40FB-8D34-F8F16ECB967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B7B0-4732-86FB-BBC59FFB299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A9F9972-8C4C-4D67-9924-33BBC443465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B7B0-4732-86FB-BBC59FFB299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DF55689-8096-4D90-A80E-6F90876247F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B7B0-4732-86FB-BBC59FFB299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8A84719-83AF-433E-A13A-77FCF728A04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B7B0-4732-86FB-BBC59FFB299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59E3EB2-DBB2-4A95-A07B-D8F0CAD47F6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B7B0-4732-86FB-BBC59FFB299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8952699-BE49-402B-A992-C6BD6AD702D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B7B0-4732-86FB-BBC59FFB29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'Résumé des UC'!$E$5:$E$21</c:f>
              <c:numCache>
                <c:formatCode>0.0</c:formatCode>
                <c:ptCount val="17"/>
                <c:pt idx="0">
                  <c:v>2.7666666666666666</c:v>
                </c:pt>
                <c:pt idx="1">
                  <c:v>2.5384615384615388</c:v>
                </c:pt>
                <c:pt idx="2">
                  <c:v>2.2153846153846155</c:v>
                </c:pt>
                <c:pt idx="3">
                  <c:v>2.95</c:v>
                </c:pt>
                <c:pt idx="4">
                  <c:v>4.3538461538461535</c:v>
                </c:pt>
                <c:pt idx="5">
                  <c:v>4.092307692307692</c:v>
                </c:pt>
                <c:pt idx="6">
                  <c:v>3.6769230769230772</c:v>
                </c:pt>
                <c:pt idx="7">
                  <c:v>3.2461538461538462</c:v>
                </c:pt>
                <c:pt idx="8">
                  <c:v>2.9384615384615378</c:v>
                </c:pt>
                <c:pt idx="9">
                  <c:v>4.2153846153846155</c:v>
                </c:pt>
                <c:pt idx="10">
                  <c:v>3.4</c:v>
                </c:pt>
                <c:pt idx="11">
                  <c:v>3.1076923076923082</c:v>
                </c:pt>
                <c:pt idx="12">
                  <c:v>4.1692307692307695</c:v>
                </c:pt>
                <c:pt idx="13">
                  <c:v>3.4307692307692315</c:v>
                </c:pt>
                <c:pt idx="14">
                  <c:v>3.2615384615384615</c:v>
                </c:pt>
                <c:pt idx="15">
                  <c:v>1.5555555555555556</c:v>
                </c:pt>
                <c:pt idx="16">
                  <c:v>0</c:v>
                </c:pt>
              </c:numCache>
            </c:numRef>
          </c:xVal>
          <c:yVal>
            <c:numRef>
              <c:f>'Résumé des UC'!$F$5:$F$21</c:f>
              <c:numCache>
                <c:formatCode>0.0</c:formatCode>
                <c:ptCount val="17"/>
                <c:pt idx="0">
                  <c:v>3.2163636363636363</c:v>
                </c:pt>
                <c:pt idx="1">
                  <c:v>2.4733333333333336</c:v>
                </c:pt>
                <c:pt idx="2">
                  <c:v>3.5078088578088584</c:v>
                </c:pt>
                <c:pt idx="3">
                  <c:v>3.7724941724941723</c:v>
                </c:pt>
                <c:pt idx="4">
                  <c:v>3.9918414918414924</c:v>
                </c:pt>
                <c:pt idx="5">
                  <c:v>3.1834498834498834</c:v>
                </c:pt>
                <c:pt idx="6">
                  <c:v>3.1335664335664339</c:v>
                </c:pt>
                <c:pt idx="7">
                  <c:v>2.683799533799534</c:v>
                </c:pt>
                <c:pt idx="8">
                  <c:v>3.9121212121212117</c:v>
                </c:pt>
                <c:pt idx="9">
                  <c:v>3.4730769230769227</c:v>
                </c:pt>
                <c:pt idx="10">
                  <c:v>3.2862470862470863</c:v>
                </c:pt>
                <c:pt idx="11">
                  <c:v>3.9272727272727272</c:v>
                </c:pt>
                <c:pt idx="12">
                  <c:v>4.063286713286713</c:v>
                </c:pt>
                <c:pt idx="13">
                  <c:v>3.2951048951048953</c:v>
                </c:pt>
                <c:pt idx="14">
                  <c:v>3.2655011655011656</c:v>
                </c:pt>
                <c:pt idx="15">
                  <c:v>2.8563492063492064</c:v>
                </c:pt>
                <c:pt idx="16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'Résumé des UC'!$D$5:$D$21</c15:f>
                <c15:dlblRangeCache>
                  <c:ptCount val="17"/>
                  <c:pt idx="0">
                    <c:v>LDAP_Security_ID_Creation</c:v>
                  </c:pt>
                  <c:pt idx="1">
                    <c:v>Automation for strategic reporting - AI Data driven approach to operations financial management</c:v>
                  </c:pt>
                  <c:pt idx="2">
                    <c:v>GO Holidays perimeter automation</c:v>
                  </c:pt>
                  <c:pt idx="3">
                    <c:v>Regulatory watch</c:v>
                  </c:pt>
                  <c:pt idx="4">
                    <c:v>Reception Email</c:v>
                  </c:pt>
                  <c:pt idx="5">
                    <c:v>Background Check</c:v>
                  </c:pt>
                  <c:pt idx="6">
                    <c:v>Language Assessment</c:v>
                  </c:pt>
                  <c:pt idx="7">
                    <c:v>A/D Program</c:v>
                  </c:pt>
                  <c:pt idx="8">
                    <c:v>Intelligence Gateway</c:v>
                  </c:pt>
                  <c:pt idx="9">
                    <c:v>Flight Schedule</c:v>
                  </c:pt>
                  <c:pt idx="10">
                    <c:v>Automatic Refund</c:v>
                  </c:pt>
                  <c:pt idx="11">
                    <c:v>PULSE</c:v>
                  </c:pt>
                  <c:pt idx="12">
                    <c:v>Supplier Data Quality</c:v>
                  </c:pt>
                  <c:pt idx="13">
                    <c:v>Catalog Management</c:v>
                  </c:pt>
                  <c:pt idx="14">
                    <c:v>Finance Account</c:v>
                  </c:pt>
                  <c:pt idx="15">
                    <c:v>Purchase Order</c:v>
                  </c:pt>
                  <c:pt idx="16">
                    <c:v>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A-B7B0-4732-86FB-BBC59FFB2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660063"/>
        <c:axId val="1184655743"/>
      </c:scatterChart>
      <c:valAx>
        <c:axId val="1184660063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Valeur Business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4655743"/>
        <c:crosses val="autoZero"/>
        <c:crossBetween val="midCat"/>
      </c:valAx>
      <c:valAx>
        <c:axId val="1184655743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Maturité</a:t>
                </a:r>
                <a:r>
                  <a:rPr lang="fr-FR" baseline="0"/>
                  <a:t> du Use Case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4660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287336</xdr:colOff>
      <xdr:row>0</xdr:row>
      <xdr:rowOff>73025</xdr:rowOff>
    </xdr:from>
    <xdr:to>
      <xdr:col>36</xdr:col>
      <xdr:colOff>57150</xdr:colOff>
      <xdr:row>50</xdr:row>
      <xdr:rowOff>141112</xdr:rowOff>
    </xdr:to>
    <xdr:graphicFrame macro="">
      <xdr:nvGraphicFramePr>
        <xdr:cNvPr id="10" name="Graphique 1">
          <a:extLst>
            <a:ext uri="{FF2B5EF4-FFF2-40B4-BE49-F238E27FC236}">
              <a16:creationId xmlns:a16="http://schemas.microsoft.com/office/drawing/2014/main" id="{D9B7A272-37AB-F739-80ED-69FE89C52F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aillet, Cedric" id="{00568227-09DF-44E5-B108-2FF1102F3508}" userId="S::baillce@clubmed.com::c971b462-609c-4815-9e75-bda66f0de09c" providerId="AD"/>
  <person displayName="DENIS, Julien" id="{5FD1185B-CF70-4EB6-93B5-BB6E3C2626BE}" userId="S::denisju@clubmed.com::b3f6dfe5-4cf2-4038-a399-bf8c63238a7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5" dT="2026-02-19T13:22:07.16" personId="{00568227-09DF-44E5-B108-2FF1102F3508}" id="{E00B6AED-2B37-C142-8CCF-140C784AF4B5}">
    <text xml:space="preserve">fully internal mandatory.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7" dT="2026-02-19T13:31:40.09" personId="{00568227-09DF-44E5-B108-2FF1102F3508}" id="{84B3B856-4C1E-C54C-888C-FA9E4D9947B0}">
    <text>Warning: differnece between villages can be tricky.</text>
  </threadedComment>
  <threadedComment ref="F8" dT="2026-02-19T13:29:44.53" personId="{00568227-09DF-44E5-B108-2FF1102F3508}" id="{5B23FE0C-68B5-AE42-8721-1CBC17E79041}">
    <text xml:space="preserve">IA vs automatisation. Same input same output mandatoru.
</text>
  </threadedComment>
  <threadedComment ref="F15" dT="2026-02-19T13:30:58.44" personId="{00568227-09DF-44E5-B108-2FF1102F3508}" id="{7D423BE4-B878-2442-80F0-63A9967682B0}">
    <text>Depending on the data, PII can be present and must be handle with care.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5" dT="2026-02-19T13:35:38.11" personId="{00568227-09DF-44E5-B108-2FF1102F3508}" id="{A844F68F-6CD1-5E43-A86A-B605CDEA6286}">
    <text>2 because of impact on GOs. But the fundamental impact ao IA vs people is not that hudge...</text>
  </threadedComment>
  <threadedComment ref="F15" dT="2026-02-19T13:37:12.97" personId="{00568227-09DF-44E5-B108-2FF1102F3508}" id="{9689FA7C-C0A5-214F-AC25-6897C6B5DEA7}">
    <text>No PII from what i understand.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2" dT="2026-02-19T13:43:55.18" personId="{00568227-09DF-44E5-B108-2FF1102F3508}" id="{FD0B7649-A168-2944-B666-86D2AC10A742}">
    <text>Lot of different and moving sources</text>
  </threadedComment>
  <threadedComment ref="F13" dT="2026-02-19T13:48:09.09" personId="{00568227-09DF-44E5-B108-2FF1102F3508}" id="{F290B64C-0496-D848-9730-F85D3F69BD19}">
    <text>Yes but on a specific perimeter.</text>
  </threadedComment>
  <threadedComment ref="F14" dT="2026-02-19T13:47:18.01" personId="{00568227-09DF-44E5-B108-2FF1102F3508}" id="{0E1A1106-2A7D-3D42-98CD-869C414176B1}">
    <text xml:space="preserve">Too many sources. Issues with run phase to consider.
</text>
  </threadedComment>
  <threadedComment ref="F15" dT="2026-02-19T13:42:10.02" personId="{00568227-09DF-44E5-B108-2FF1102F3508}" id="{DDE278E0-9283-5F40-8C90-AC0C9AA31408}">
    <text>No PII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6" dT="2026-02-19T13:57:32.38" personId="{00568227-09DF-44E5-B108-2FF1102F3508}" id="{B96CE031-B44E-EB4C-8E5F-475B3E8C0360}">
    <text xml:space="preserve">Feeling that the ROI should be there but not properly defined
</text>
  </threadedComment>
  <threadedComment ref="F14" dT="2026-02-19T13:56:01.70" personId="{00568227-09DF-44E5-B108-2FF1102F3508}" id="{6EB337A5-6EF2-744E-995D-956E110354FD}">
    <text xml:space="preserve">Mutualization with other area: procurement, legal, ...
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6" dT="2026-02-19T14:06:07.74" personId="{00568227-09DF-44E5-B108-2FF1102F3508}" id="{7B6A5B43-88C5-5045-809F-313AD29EA81E}">
    <text>Feeling ROI should be ther ebut not properly formalized.</text>
  </threadedComment>
  <threadedComment ref="F15" dT="2026-02-19T14:04:55.18" personId="{00568227-09DF-44E5-B108-2FF1102F3508}" id="{C337F12B-674C-B840-9F37-471F74B26CC8}">
    <text>PII &amp; Scoring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L13" dT="2026-02-19T14:14:25.17" personId="{5FD1185B-CF70-4EB6-93B5-BB6E3C2626BE}" id="{C4135431-8978-41EC-9C3F-3725B389463E}">
    <text>According to mdel training (Prompt vs ML)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F9" dT="2026-02-19T14:29:19.39" personId="{00568227-09DF-44E5-B108-2FF1102F3508}" id="{ABA00EFF-282D-5A4B-9A93-DD4A0150F96C}">
    <text>TED copilot evolv ?</text>
  </threadedComment>
  <threadedComment ref="F12" dT="2026-02-19T14:26:33.60" personId="{00568227-09DF-44E5-B108-2FF1102F3508}" id="{93A72F78-4071-A94F-859D-038E0F9CC616}">
    <text xml:space="preserve">On se doute mais ce n'est pas clairement exprimé
</text>
  </threadedComment>
  <threadedComment ref="L14" dT="2026-02-19T14:27:06.03" personId="{5FD1185B-CF70-4EB6-93B5-BB6E3C2626BE}" id="{76F644F2-66B5-4F9E-B626-DB16A283F723}">
    <text>Classical RAG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F11" dT="2026-02-19T14:36:07.98" personId="{00568227-09DF-44E5-B108-2FF1102F3508}" id="{27CF2DBF-6534-024C-89AA-2E5E1DC9BC67}">
    <text>Would love to get more details on the global system, partners and impact of different technologies in our ecosystem</text>
  </threadedComment>
  <threadedComment ref="F15" dT="2026-02-19T14:34:42.84" personId="{00568227-09DF-44E5-B108-2FF1102F3508}" id="{6A11D8BA-8FC8-1645-9BA2-34CA6804CE13}">
    <text>same risk as before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F15" dT="2026-02-19T15:27:19.13" personId="{00568227-09DF-44E5-B108-2FF1102F3508}" id="{FFB4E815-FB7B-C947-9397-B401558CE9D5}">
    <text xml:space="preserve">Same risk as before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6.bin"/><Relationship Id="rId4" Type="http://schemas.microsoft.com/office/2017/10/relationships/threadedComment" Target="../threadedComments/threadedComment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94DF2-CCC4-4F83-95AA-A35B1236F025}">
  <sheetPr>
    <pageSetUpPr fitToPage="1"/>
  </sheetPr>
  <dimension ref="A1:J17"/>
  <sheetViews>
    <sheetView topLeftCell="A5" zoomScale="70" zoomScaleNormal="70" workbookViewId="0">
      <selection activeCell="D10" sqref="D10"/>
    </sheetView>
  </sheetViews>
  <sheetFormatPr defaultColWidth="8.7109375" defaultRowHeight="14.45"/>
  <cols>
    <col min="1" max="1" width="21" customWidth="1"/>
    <col min="2" max="2" width="26.85546875" customWidth="1"/>
    <col min="3" max="3" width="59.5703125" customWidth="1"/>
    <col min="4" max="4" width="11.140625" customWidth="1"/>
    <col min="5" max="10" width="25.7109375" customWidth="1"/>
  </cols>
  <sheetData>
    <row r="1" spans="1:10" ht="15" thickBot="1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</row>
    <row r="2" spans="1:10" s="13" customFormat="1" ht="78.599999999999994" thickBot="1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</row>
    <row r="3" spans="1:10" ht="27.95" thickTop="1" thickBot="1">
      <c r="A3" s="1" t="s">
        <v>11</v>
      </c>
      <c r="B3" s="1" t="s">
        <v>12</v>
      </c>
      <c r="C3" s="2" t="s">
        <v>13</v>
      </c>
      <c r="D3" s="3">
        <v>10</v>
      </c>
      <c r="E3" s="2"/>
      <c r="F3" s="2"/>
      <c r="G3" s="2"/>
      <c r="H3" s="2"/>
      <c r="I3" s="2"/>
      <c r="J3" s="2"/>
    </row>
    <row r="4" spans="1:10" ht="26.45" thickBot="1">
      <c r="A4" s="4"/>
      <c r="B4" s="5" t="s">
        <v>14</v>
      </c>
      <c r="C4" s="6" t="s">
        <v>15</v>
      </c>
      <c r="D4" s="7">
        <v>10</v>
      </c>
      <c r="E4" s="4"/>
      <c r="F4" s="4"/>
      <c r="G4" s="4"/>
      <c r="H4" s="4"/>
      <c r="I4" s="4"/>
      <c r="J4" s="4"/>
    </row>
    <row r="5" spans="1:10" ht="27.6" thickBot="1">
      <c r="A5" s="8" t="s">
        <v>16</v>
      </c>
      <c r="B5" s="8" t="s">
        <v>17</v>
      </c>
      <c r="C5" s="9" t="s">
        <v>18</v>
      </c>
      <c r="D5" s="10">
        <v>10</v>
      </c>
      <c r="E5" s="8"/>
      <c r="F5" s="8"/>
      <c r="G5" s="9"/>
      <c r="H5" s="10"/>
      <c r="I5" s="8"/>
      <c r="J5" s="8"/>
    </row>
    <row r="6" spans="1:10" ht="26.45" thickBot="1">
      <c r="A6" s="4"/>
      <c r="B6" s="5" t="s">
        <v>19</v>
      </c>
      <c r="C6" s="6" t="s">
        <v>20</v>
      </c>
      <c r="D6" s="7">
        <v>5</v>
      </c>
      <c r="E6" s="4"/>
      <c r="F6" s="5"/>
      <c r="G6" s="6"/>
      <c r="H6" s="7"/>
      <c r="I6" s="4"/>
      <c r="J6" s="5"/>
    </row>
    <row r="7" spans="1:10" ht="27.6" thickBot="1">
      <c r="A7" s="8" t="s">
        <v>21</v>
      </c>
      <c r="B7" s="8" t="s">
        <v>22</v>
      </c>
      <c r="C7" s="9" t="s">
        <v>23</v>
      </c>
      <c r="D7" s="10">
        <v>10</v>
      </c>
      <c r="E7" s="8"/>
      <c r="F7" s="8"/>
      <c r="G7" s="9"/>
      <c r="H7" s="10"/>
      <c r="I7" s="8"/>
      <c r="J7" s="8"/>
    </row>
    <row r="8" spans="1:10" ht="23.1" thickBot="1">
      <c r="A8" s="4"/>
      <c r="B8" s="5" t="s">
        <v>24</v>
      </c>
      <c r="C8" s="6" t="s">
        <v>25</v>
      </c>
      <c r="D8" s="7">
        <v>10</v>
      </c>
      <c r="E8" s="4"/>
      <c r="F8" s="5"/>
      <c r="G8" s="6"/>
      <c r="H8" s="7"/>
      <c r="I8" s="4"/>
      <c r="J8" s="5"/>
    </row>
    <row r="9" spans="1:10" ht="15" thickBot="1">
      <c r="A9" s="8" t="s">
        <v>26</v>
      </c>
      <c r="B9" s="8" t="s">
        <v>27</v>
      </c>
      <c r="C9" s="9" t="s">
        <v>28</v>
      </c>
      <c r="D9" s="10">
        <v>10</v>
      </c>
      <c r="E9" s="8"/>
      <c r="F9" s="8"/>
      <c r="G9" s="9"/>
      <c r="H9" s="10"/>
      <c r="I9" s="8"/>
      <c r="J9" s="8"/>
    </row>
    <row r="10" spans="1:10" ht="26.45" thickBot="1">
      <c r="A10" s="4"/>
      <c r="B10" s="5" t="s">
        <v>29</v>
      </c>
      <c r="C10" s="6" t="s">
        <v>30</v>
      </c>
      <c r="D10" s="7">
        <v>5</v>
      </c>
      <c r="E10" s="4"/>
      <c r="F10" s="5"/>
      <c r="G10" s="6"/>
      <c r="H10" s="7"/>
      <c r="I10" s="4"/>
      <c r="J10" s="5"/>
    </row>
    <row r="11" spans="1:10" ht="26.45" thickBot="1">
      <c r="A11" s="11"/>
      <c r="B11" s="8" t="s">
        <v>31</v>
      </c>
      <c r="C11" s="9" t="s">
        <v>32</v>
      </c>
      <c r="D11" s="10">
        <v>5</v>
      </c>
      <c r="E11" s="11"/>
      <c r="F11" s="8"/>
      <c r="G11" s="9"/>
      <c r="H11" s="10"/>
      <c r="I11" s="11"/>
      <c r="J11" s="8"/>
    </row>
    <row r="12" spans="1:10" ht="27.6" thickBot="1">
      <c r="A12" s="5" t="s">
        <v>33</v>
      </c>
      <c r="B12" s="5" t="s">
        <v>34</v>
      </c>
      <c r="C12" s="6" t="s">
        <v>35</v>
      </c>
      <c r="D12" s="7">
        <v>5</v>
      </c>
      <c r="E12" s="5"/>
      <c r="F12" s="5"/>
      <c r="G12" s="6"/>
      <c r="H12" s="7"/>
      <c r="I12" s="5"/>
      <c r="J12" s="5"/>
    </row>
    <row r="13" spans="1:10" ht="26.45" thickBot="1">
      <c r="A13" s="11"/>
      <c r="B13" s="8" t="s">
        <v>36</v>
      </c>
      <c r="C13" s="9" t="s">
        <v>37</v>
      </c>
      <c r="D13" s="10">
        <v>5</v>
      </c>
      <c r="E13" s="11"/>
      <c r="F13" s="8"/>
      <c r="G13" s="9"/>
      <c r="H13" s="10"/>
      <c r="I13" s="11"/>
      <c r="J13" s="8"/>
    </row>
    <row r="14" spans="1:10" ht="26.45" thickBot="1">
      <c r="A14" s="4"/>
      <c r="B14" s="5" t="s">
        <v>38</v>
      </c>
      <c r="C14" s="6" t="s">
        <v>39</v>
      </c>
      <c r="D14" s="7">
        <v>5</v>
      </c>
      <c r="E14" s="4"/>
      <c r="F14" s="5"/>
      <c r="G14" s="6"/>
      <c r="H14" s="7"/>
      <c r="I14" s="4"/>
      <c r="J14" s="5"/>
    </row>
    <row r="15" spans="1:10" ht="27.6" thickBot="1">
      <c r="A15" s="8" t="s">
        <v>40</v>
      </c>
      <c r="B15" s="8" t="s">
        <v>41</v>
      </c>
      <c r="C15" s="9" t="s">
        <v>42</v>
      </c>
      <c r="D15" s="10">
        <v>5</v>
      </c>
      <c r="E15" s="8"/>
      <c r="F15" s="8"/>
      <c r="G15" s="9"/>
      <c r="H15" s="10"/>
      <c r="I15" s="8"/>
      <c r="J15" s="8"/>
    </row>
    <row r="16" spans="1:10" ht="26.45" thickBot="1">
      <c r="A16" s="4"/>
      <c r="B16" s="5" t="s">
        <v>43</v>
      </c>
      <c r="C16" s="6" t="s">
        <v>44</v>
      </c>
      <c r="D16" s="7">
        <v>5</v>
      </c>
      <c r="E16" s="4"/>
      <c r="F16" s="5"/>
      <c r="G16" s="6"/>
      <c r="H16" s="7"/>
      <c r="I16" s="4"/>
      <c r="J16" s="5"/>
    </row>
    <row r="17" spans="1:10" ht="21" thickBot="1">
      <c r="A17" s="85" t="s">
        <v>45</v>
      </c>
      <c r="B17" s="86"/>
      <c r="C17" s="87"/>
      <c r="D17" s="12">
        <v>100</v>
      </c>
      <c r="E17" s="12"/>
      <c r="F17" s="12"/>
      <c r="G17" s="12"/>
      <c r="H17" s="12"/>
      <c r="I17" s="12"/>
      <c r="J17" s="12"/>
    </row>
  </sheetData>
  <mergeCells count="2">
    <mergeCell ref="A17:C17"/>
    <mergeCell ref="A1:J1"/>
  </mergeCells>
  <pageMargins left="0.7" right="0.7" top="0.75" bottom="0.75" header="0.3" footer="0.3"/>
  <pageSetup paperSize="0" scale="5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6E87D-3C97-47C9-B89B-0CFE8C81A97F}">
  <dimension ref="A1:K21"/>
  <sheetViews>
    <sheetView topLeftCell="A3" zoomScale="55" zoomScaleNormal="55" workbookViewId="0">
      <selection activeCell="C6" sqref="C6"/>
    </sheetView>
  </sheetViews>
  <sheetFormatPr defaultColWidth="8.7109375" defaultRowHeight="14.45"/>
  <cols>
    <col min="1" max="1" width="21" customWidth="1"/>
    <col min="2" max="2" width="26.85546875" customWidth="1"/>
    <col min="3" max="3" width="32.85546875" customWidth="1"/>
    <col min="4" max="4" width="11.140625" customWidth="1"/>
    <col min="5" max="5" width="30.140625" customWidth="1"/>
    <col min="6" max="11" width="25.7109375" customWidth="1"/>
  </cols>
  <sheetData>
    <row r="1" spans="1:11" ht="15" thickBot="1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</row>
    <row r="2" spans="1:11" s="13" customFormat="1" ht="20.100000000000001" thickBot="1">
      <c r="A2" s="14" t="s">
        <v>1</v>
      </c>
      <c r="B2" s="14" t="s">
        <v>2</v>
      </c>
      <c r="C2" s="14" t="s">
        <v>3</v>
      </c>
      <c r="D2" s="14" t="s">
        <v>4</v>
      </c>
      <c r="E2" s="14" t="s">
        <v>46</v>
      </c>
      <c r="F2" s="14" t="s">
        <v>47</v>
      </c>
      <c r="G2" s="14" t="s">
        <v>47</v>
      </c>
      <c r="H2" s="14" t="s">
        <v>47</v>
      </c>
      <c r="I2" s="14" t="s">
        <v>47</v>
      </c>
      <c r="J2" s="14" t="s">
        <v>47</v>
      </c>
      <c r="K2" s="14" t="s">
        <v>47</v>
      </c>
    </row>
    <row r="3" spans="1:11" ht="53.1" thickTop="1" thickBot="1">
      <c r="A3" s="1" t="s">
        <v>48</v>
      </c>
      <c r="B3" s="1" t="s">
        <v>49</v>
      </c>
      <c r="C3" s="2" t="s">
        <v>50</v>
      </c>
      <c r="D3" s="3"/>
      <c r="E3" s="3" t="s">
        <v>51</v>
      </c>
      <c r="F3" s="2"/>
      <c r="G3" s="2"/>
      <c r="H3" s="2"/>
      <c r="I3" s="2"/>
      <c r="J3" s="2"/>
      <c r="K3" s="2"/>
    </row>
    <row r="4" spans="1:11" ht="39.6" thickBot="1">
      <c r="A4" s="4"/>
      <c r="B4" s="15" t="s">
        <v>52</v>
      </c>
      <c r="C4" s="16" t="s">
        <v>53</v>
      </c>
      <c r="F4" s="4"/>
      <c r="G4" s="4"/>
      <c r="H4" s="4"/>
      <c r="I4" s="4"/>
      <c r="J4" s="4"/>
      <c r="K4" s="4"/>
    </row>
    <row r="5" spans="1:11" ht="39.6" thickBot="1">
      <c r="A5" s="4"/>
      <c r="B5" s="5" t="s">
        <v>41</v>
      </c>
      <c r="C5" s="6" t="s">
        <v>42</v>
      </c>
      <c r="D5" s="7"/>
      <c r="E5" s="7"/>
      <c r="F5" s="4"/>
      <c r="G5" s="5"/>
      <c r="H5" s="6"/>
      <c r="I5" s="7"/>
      <c r="J5" s="4"/>
      <c r="K5" s="5"/>
    </row>
    <row r="6" spans="1:11" ht="84.6" customHeight="1" thickBot="1">
      <c r="A6" s="4"/>
      <c r="B6" s="5" t="s">
        <v>43</v>
      </c>
      <c r="C6" s="6" t="s">
        <v>44</v>
      </c>
      <c r="D6" s="7"/>
      <c r="E6" s="7"/>
      <c r="F6" s="4"/>
      <c r="G6" s="5"/>
      <c r="H6" s="6"/>
      <c r="I6" s="7"/>
      <c r="J6" s="4"/>
      <c r="K6" s="5"/>
    </row>
    <row r="7" spans="1:11" ht="53.1" customHeight="1" thickTop="1" thickBot="1">
      <c r="A7" s="1" t="s">
        <v>54</v>
      </c>
      <c r="B7" s="1"/>
      <c r="C7" s="2" t="s">
        <v>55</v>
      </c>
      <c r="D7" s="3"/>
      <c r="E7" s="3" t="s">
        <v>56</v>
      </c>
      <c r="F7" s="2"/>
      <c r="G7" s="2"/>
      <c r="H7" s="2"/>
      <c r="I7" s="2"/>
      <c r="J7" s="2"/>
      <c r="K7" s="2"/>
    </row>
    <row r="8" spans="1:11" ht="41.45" thickTop="1" thickBot="1">
      <c r="A8" s="1" t="s">
        <v>57</v>
      </c>
      <c r="B8" s="5" t="s">
        <v>14</v>
      </c>
      <c r="C8" s="6" t="s">
        <v>15</v>
      </c>
      <c r="D8" s="7"/>
      <c r="E8" s="7" t="s">
        <v>58</v>
      </c>
      <c r="F8" s="2"/>
      <c r="G8" s="2"/>
      <c r="H8" s="2"/>
      <c r="I8" s="2"/>
      <c r="J8" s="2"/>
      <c r="K8" s="2"/>
    </row>
    <row r="9" spans="1:11" ht="39.6" thickBot="1">
      <c r="A9" s="8" t="s">
        <v>59</v>
      </c>
      <c r="B9" s="8" t="s">
        <v>22</v>
      </c>
      <c r="C9" s="9" t="s">
        <v>23</v>
      </c>
      <c r="D9" s="10"/>
      <c r="E9" s="10" t="s">
        <v>60</v>
      </c>
      <c r="F9" s="8"/>
      <c r="G9" s="8"/>
      <c r="H9" s="9"/>
      <c r="I9" s="10"/>
      <c r="J9" s="8"/>
      <c r="K9" s="8"/>
    </row>
    <row r="10" spans="1:11" ht="26.45" thickBot="1">
      <c r="A10" s="4"/>
      <c r="B10" s="5" t="s">
        <v>24</v>
      </c>
      <c r="C10" s="6" t="s">
        <v>25</v>
      </c>
      <c r="D10" s="7"/>
      <c r="E10" s="7"/>
      <c r="F10" s="4"/>
      <c r="G10" s="5"/>
      <c r="H10" s="6"/>
      <c r="I10" s="7"/>
      <c r="J10" s="4"/>
      <c r="K10" s="5"/>
    </row>
    <row r="11" spans="1:11" ht="27" thickTop="1" thickBot="1">
      <c r="A11" s="4"/>
      <c r="B11" s="1" t="s">
        <v>61</v>
      </c>
      <c r="C11" s="2" t="s">
        <v>62</v>
      </c>
      <c r="D11" s="7"/>
      <c r="E11" s="7"/>
      <c r="F11" s="4"/>
      <c r="G11" s="5"/>
      <c r="H11" s="6"/>
      <c r="I11" s="7"/>
      <c r="J11" s="4"/>
      <c r="K11" s="5"/>
    </row>
    <row r="12" spans="1:11" ht="26.45" thickBot="1">
      <c r="A12" s="4"/>
      <c r="B12" s="5" t="s">
        <v>63</v>
      </c>
      <c r="C12" s="6" t="s">
        <v>64</v>
      </c>
      <c r="D12" s="7"/>
      <c r="E12" s="7"/>
      <c r="F12" s="4"/>
      <c r="G12" s="5"/>
      <c r="H12" s="6"/>
      <c r="I12" s="7"/>
      <c r="J12" s="4"/>
      <c r="K12" s="5"/>
    </row>
    <row r="13" spans="1:11" ht="51.6" customHeight="1" thickBot="1">
      <c r="A13" s="8" t="s">
        <v>65</v>
      </c>
      <c r="B13" s="8"/>
      <c r="C13" s="9" t="s">
        <v>66</v>
      </c>
      <c r="D13" s="10"/>
      <c r="E13" s="10"/>
      <c r="F13" s="8"/>
      <c r="G13" s="8"/>
      <c r="H13" s="9"/>
      <c r="I13" s="10"/>
      <c r="J13" s="8"/>
      <c r="K13" s="8"/>
    </row>
    <row r="14" spans="1:11" ht="26.45" thickBot="1">
      <c r="A14" s="4"/>
      <c r="B14" s="5"/>
      <c r="C14" s="6" t="s">
        <v>67</v>
      </c>
      <c r="D14" s="7"/>
      <c r="E14" s="7"/>
      <c r="F14" s="4"/>
      <c r="G14" s="5"/>
      <c r="H14" s="6"/>
      <c r="I14" s="7"/>
      <c r="J14" s="4"/>
      <c r="K14" s="5"/>
    </row>
    <row r="15" spans="1:11" ht="27.6" thickBot="1">
      <c r="A15" s="8" t="s">
        <v>33</v>
      </c>
      <c r="B15" s="8" t="s">
        <v>34</v>
      </c>
      <c r="C15" s="9" t="s">
        <v>35</v>
      </c>
      <c r="D15" s="10"/>
      <c r="E15" s="10"/>
      <c r="F15" s="8"/>
      <c r="G15" s="8"/>
      <c r="H15" s="9"/>
      <c r="I15" s="10"/>
      <c r="J15" s="8"/>
      <c r="K15" s="8"/>
    </row>
    <row r="16" spans="1:11" ht="52.5" thickBot="1">
      <c r="A16" s="4"/>
      <c r="B16" s="5" t="s">
        <v>36</v>
      </c>
      <c r="C16" s="6" t="s">
        <v>37</v>
      </c>
      <c r="D16" s="7"/>
      <c r="E16" s="7"/>
      <c r="F16" s="4"/>
      <c r="G16" s="5"/>
      <c r="H16" s="6"/>
      <c r="I16" s="7"/>
      <c r="J16" s="4"/>
      <c r="K16" s="5"/>
    </row>
    <row r="17" spans="1:11" ht="39.6" thickBot="1">
      <c r="A17" s="4"/>
      <c r="B17" s="5" t="s">
        <v>38</v>
      </c>
      <c r="C17" s="6" t="s">
        <v>39</v>
      </c>
      <c r="D17" s="7"/>
      <c r="E17" s="7"/>
      <c r="F17" s="4"/>
      <c r="G17" s="5"/>
      <c r="H17" s="6"/>
      <c r="I17" s="7"/>
      <c r="J17" s="4"/>
      <c r="K17" s="5"/>
    </row>
    <row r="18" spans="1:11" ht="27.6" thickBot="1">
      <c r="A18" s="8" t="s">
        <v>16</v>
      </c>
      <c r="B18" s="8" t="s">
        <v>17</v>
      </c>
      <c r="C18" s="9" t="s">
        <v>18</v>
      </c>
      <c r="D18" s="10"/>
      <c r="E18" s="10"/>
      <c r="F18" s="8"/>
      <c r="G18" s="8"/>
      <c r="H18" s="9"/>
      <c r="I18" s="10"/>
      <c r="J18" s="8"/>
      <c r="K18" s="8"/>
    </row>
    <row r="19" spans="1:11" ht="39.6" thickBot="1">
      <c r="A19" s="4"/>
      <c r="B19" s="5" t="s">
        <v>19</v>
      </c>
      <c r="C19" s="6" t="s">
        <v>20</v>
      </c>
      <c r="D19" s="7"/>
      <c r="E19" s="7"/>
      <c r="F19" s="4"/>
      <c r="G19" s="5"/>
      <c r="H19" s="6"/>
      <c r="I19" s="7"/>
      <c r="J19" s="4"/>
      <c r="K19" s="5"/>
    </row>
    <row r="20" spans="1:11" ht="41.1" thickBot="1">
      <c r="A20" s="8" t="s">
        <v>68</v>
      </c>
      <c r="B20" s="8" t="s">
        <v>69</v>
      </c>
      <c r="C20" s="9" t="s">
        <v>70</v>
      </c>
      <c r="D20" s="10"/>
      <c r="E20" s="10"/>
      <c r="F20" s="8"/>
      <c r="G20" s="8"/>
      <c r="H20" s="9"/>
      <c r="I20" s="10"/>
      <c r="J20" s="8"/>
      <c r="K20" s="8"/>
    </row>
    <row r="21" spans="1:11" ht="21" thickBot="1">
      <c r="A21" s="85"/>
      <c r="B21" s="86"/>
      <c r="C21" s="87"/>
      <c r="D21" s="12"/>
      <c r="E21" s="12"/>
      <c r="F21" s="12"/>
      <c r="G21" s="12"/>
      <c r="H21" s="12"/>
      <c r="I21" s="12"/>
      <c r="J21" s="12"/>
      <c r="K21" s="12"/>
    </row>
  </sheetData>
  <mergeCells count="2">
    <mergeCell ref="A1:K1"/>
    <mergeCell ref="A21:C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50A35-AA3E-4EEA-9E83-68A983045EBF}">
  <dimension ref="B1:Y29"/>
  <sheetViews>
    <sheetView showGridLines="0" tabSelected="1" zoomScale="39" zoomScaleNormal="64" workbookViewId="0">
      <pane xSplit="5" ySplit="4" topLeftCell="F5" activePane="bottomRight" state="frozen"/>
      <selection pane="bottomRight" activeCell="U8" sqref="U8"/>
      <selection pane="bottomLeft" activeCell="A5" sqref="A5"/>
      <selection pane="topRight" activeCell="F1" sqref="F1"/>
    </sheetView>
  </sheetViews>
  <sheetFormatPr defaultColWidth="10.7109375" defaultRowHeight="14.45"/>
  <cols>
    <col min="1" max="1" width="4" style="18" customWidth="1"/>
    <col min="2" max="2" width="13" style="18" customWidth="1"/>
    <col min="3" max="3" width="20.28515625" style="18" bestFit="1" customWidth="1"/>
    <col min="4" max="4" width="73" style="18" customWidth="1"/>
    <col min="5" max="5" width="24" style="18" customWidth="1"/>
    <col min="6" max="11" width="18.42578125" style="18" customWidth="1"/>
    <col min="12" max="12" width="18.42578125" style="56" customWidth="1"/>
    <col min="13" max="18" width="18.42578125" style="18" customWidth="1"/>
    <col min="19" max="19" width="10.42578125" style="18" customWidth="1"/>
    <col min="20" max="20" width="15.28515625" style="18" customWidth="1"/>
    <col min="21" max="21" width="10.7109375" style="18"/>
    <col min="22" max="22" width="15" style="18" customWidth="1"/>
    <col min="23" max="16384" width="10.7109375" style="18"/>
  </cols>
  <sheetData>
    <row r="1" spans="2:25" ht="15" thickBot="1"/>
    <row r="2" spans="2:25" ht="32.1" customHeight="1">
      <c r="B2" s="23" t="s">
        <v>71</v>
      </c>
      <c r="C2" s="90" t="s">
        <v>72</v>
      </c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31"/>
    </row>
    <row r="3" spans="2:25" ht="63.6" customHeight="1" thickBot="1">
      <c r="B3" s="25" t="s">
        <v>1</v>
      </c>
      <c r="C3" s="25" t="s">
        <v>2</v>
      </c>
      <c r="D3" s="25" t="s">
        <v>73</v>
      </c>
      <c r="E3" s="25" t="s">
        <v>74</v>
      </c>
      <c r="F3" s="25" t="s">
        <v>75</v>
      </c>
      <c r="G3" s="25" t="s">
        <v>76</v>
      </c>
      <c r="H3" s="25" t="s">
        <v>77</v>
      </c>
      <c r="I3" s="25" t="s">
        <v>78</v>
      </c>
      <c r="J3" s="25" t="s">
        <v>79</v>
      </c>
      <c r="K3" s="25" t="s">
        <v>80</v>
      </c>
      <c r="L3" s="25" t="s">
        <v>81</v>
      </c>
      <c r="M3" s="25" t="s">
        <v>82</v>
      </c>
      <c r="N3" s="25" t="s">
        <v>83</v>
      </c>
      <c r="O3" s="25" t="s">
        <v>84</v>
      </c>
      <c r="P3" s="25" t="s">
        <v>85</v>
      </c>
      <c r="Q3" s="25" t="s">
        <v>86</v>
      </c>
      <c r="R3" s="25" t="s">
        <v>87</v>
      </c>
      <c r="S3" s="25" t="s">
        <v>88</v>
      </c>
      <c r="T3" s="25" t="s">
        <v>89</v>
      </c>
      <c r="U3" s="31"/>
    </row>
    <row r="4" spans="2:25" ht="36.950000000000003" customHeight="1" thickTop="1" thickBot="1">
      <c r="B4" s="46" t="s">
        <v>90</v>
      </c>
      <c r="C4" s="47"/>
      <c r="D4" s="47"/>
      <c r="E4" s="47"/>
      <c r="F4" s="47"/>
      <c r="G4" s="47"/>
      <c r="H4" s="47"/>
      <c r="I4" s="47"/>
      <c r="J4" s="47"/>
      <c r="K4" s="47"/>
      <c r="L4" s="48"/>
      <c r="M4" s="47"/>
      <c r="N4" s="47"/>
      <c r="O4" s="47"/>
      <c r="P4" s="47"/>
      <c r="Q4" s="47"/>
      <c r="R4" s="47"/>
      <c r="S4" s="48"/>
      <c r="T4" s="71">
        <f>AVERAGE(S5:S9)</f>
        <v>2.7666666666666666</v>
      </c>
      <c r="U4" s="32"/>
      <c r="V4" s="19"/>
      <c r="W4" s="19"/>
      <c r="X4" s="19"/>
      <c r="Y4" s="19"/>
    </row>
    <row r="5" spans="2:25" ht="53.1" customHeight="1" thickBot="1">
      <c r="B5" s="26"/>
      <c r="C5" s="27" t="s">
        <v>91</v>
      </c>
      <c r="D5" s="27" t="s">
        <v>92</v>
      </c>
      <c r="E5" s="39" t="s">
        <v>93</v>
      </c>
      <c r="F5" s="67">
        <v>4</v>
      </c>
      <c r="G5" s="67">
        <v>4</v>
      </c>
      <c r="H5" s="67">
        <v>4</v>
      </c>
      <c r="I5" s="67">
        <v>4</v>
      </c>
      <c r="J5" s="67">
        <v>4</v>
      </c>
      <c r="K5" s="67"/>
      <c r="L5" s="80">
        <v>3</v>
      </c>
      <c r="M5" s="67">
        <v>3</v>
      </c>
      <c r="N5" s="67">
        <v>3</v>
      </c>
      <c r="O5" s="67">
        <v>3</v>
      </c>
      <c r="P5" s="67">
        <v>3</v>
      </c>
      <c r="Q5" s="67">
        <v>3</v>
      </c>
      <c r="R5" s="67">
        <v>3</v>
      </c>
      <c r="S5" s="69">
        <f>AVERAGE(F5:R5)</f>
        <v>3.4166666666666665</v>
      </c>
      <c r="T5" s="28"/>
      <c r="U5" s="33"/>
      <c r="W5" s="17"/>
      <c r="X5" s="22"/>
      <c r="Y5" s="20"/>
    </row>
    <row r="6" spans="2:25" ht="53.1" customHeight="1" thickBot="1">
      <c r="B6" s="26"/>
      <c r="C6" s="27" t="s">
        <v>41</v>
      </c>
      <c r="D6" s="27" t="s">
        <v>94</v>
      </c>
      <c r="E6" s="39" t="s">
        <v>95</v>
      </c>
      <c r="F6" s="67">
        <v>1</v>
      </c>
      <c r="G6" s="67">
        <v>2</v>
      </c>
      <c r="H6" s="67">
        <v>1</v>
      </c>
      <c r="I6" s="67">
        <v>4</v>
      </c>
      <c r="J6" s="67">
        <v>3</v>
      </c>
      <c r="K6" s="67"/>
      <c r="L6" s="80">
        <v>4</v>
      </c>
      <c r="M6" s="67">
        <v>3</v>
      </c>
      <c r="N6" s="67">
        <v>4</v>
      </c>
      <c r="O6" s="67">
        <v>4</v>
      </c>
      <c r="P6" s="67">
        <v>1</v>
      </c>
      <c r="Q6" s="67">
        <v>4</v>
      </c>
      <c r="R6" s="67">
        <v>2</v>
      </c>
      <c r="S6" s="69">
        <f>AVERAGE(F6:R6)</f>
        <v>2.75</v>
      </c>
      <c r="T6" s="28"/>
      <c r="U6" s="33"/>
      <c r="W6" s="17"/>
      <c r="X6" s="22"/>
      <c r="Y6" s="20"/>
    </row>
    <row r="7" spans="2:25" ht="53.1" customHeight="1" thickBot="1">
      <c r="B7" s="26"/>
      <c r="C7" s="27" t="s">
        <v>52</v>
      </c>
      <c r="D7" s="27" t="s">
        <v>96</v>
      </c>
      <c r="E7" s="39" t="s">
        <v>97</v>
      </c>
      <c r="F7" s="67">
        <v>3</v>
      </c>
      <c r="G7" s="67">
        <v>2</v>
      </c>
      <c r="H7" s="67">
        <v>3</v>
      </c>
      <c r="I7" s="67">
        <v>5</v>
      </c>
      <c r="J7" s="67">
        <v>4</v>
      </c>
      <c r="K7" s="67"/>
      <c r="L7" s="80">
        <v>5</v>
      </c>
      <c r="M7" s="67">
        <v>3</v>
      </c>
      <c r="N7" s="67">
        <v>4</v>
      </c>
      <c r="O7" s="67">
        <v>4</v>
      </c>
      <c r="P7" s="67">
        <v>3</v>
      </c>
      <c r="Q7" s="67">
        <v>3</v>
      </c>
      <c r="R7" s="67">
        <v>3</v>
      </c>
      <c r="S7" s="69">
        <f t="shared" ref="S7:S9" si="0">AVERAGE(F7:R7)</f>
        <v>3.5</v>
      </c>
      <c r="T7" s="28"/>
      <c r="U7" s="33"/>
      <c r="W7" s="17"/>
      <c r="X7" s="22"/>
      <c r="Y7" s="20"/>
    </row>
    <row r="8" spans="2:25" ht="53.1" customHeight="1" thickBot="1">
      <c r="B8" s="26"/>
      <c r="C8" s="27" t="s">
        <v>98</v>
      </c>
      <c r="D8" s="27" t="s">
        <v>99</v>
      </c>
      <c r="E8" s="39" t="s">
        <v>100</v>
      </c>
      <c r="F8" s="67">
        <v>1</v>
      </c>
      <c r="G8" s="67">
        <v>3</v>
      </c>
      <c r="H8" s="67">
        <v>3</v>
      </c>
      <c r="I8" s="67">
        <v>2</v>
      </c>
      <c r="J8" s="67">
        <v>2</v>
      </c>
      <c r="K8" s="67"/>
      <c r="L8" s="80">
        <v>1</v>
      </c>
      <c r="M8" s="67">
        <v>2</v>
      </c>
      <c r="N8" s="67">
        <v>1</v>
      </c>
      <c r="O8" s="67">
        <v>2</v>
      </c>
      <c r="P8" s="67">
        <v>3</v>
      </c>
      <c r="Q8" s="67">
        <v>1</v>
      </c>
      <c r="R8" s="67">
        <v>1</v>
      </c>
      <c r="S8" s="69">
        <f>AVERAGE(F8:R8)</f>
        <v>1.8333333333333333</v>
      </c>
      <c r="T8" s="28"/>
      <c r="U8" s="33"/>
      <c r="V8" s="21"/>
      <c r="W8" s="17"/>
      <c r="X8" s="22"/>
      <c r="Y8" s="20"/>
    </row>
    <row r="9" spans="2:25" ht="53.1" customHeight="1" thickBot="1">
      <c r="B9" s="26"/>
      <c r="C9" s="27" t="s">
        <v>101</v>
      </c>
      <c r="D9" s="27" t="s">
        <v>102</v>
      </c>
      <c r="E9" s="39" t="s">
        <v>103</v>
      </c>
      <c r="F9" s="67">
        <v>3</v>
      </c>
      <c r="G9" s="67">
        <v>2</v>
      </c>
      <c r="H9" s="67">
        <v>2</v>
      </c>
      <c r="I9" s="67">
        <v>3</v>
      </c>
      <c r="J9" s="67">
        <v>3</v>
      </c>
      <c r="K9" s="67"/>
      <c r="L9" s="80">
        <v>3</v>
      </c>
      <c r="M9" s="67">
        <v>2</v>
      </c>
      <c r="N9" s="67">
        <v>2</v>
      </c>
      <c r="O9" s="67">
        <v>2</v>
      </c>
      <c r="P9" s="67">
        <v>2</v>
      </c>
      <c r="Q9" s="67">
        <v>2</v>
      </c>
      <c r="R9" s="67">
        <v>2</v>
      </c>
      <c r="S9" s="69">
        <f t="shared" si="0"/>
        <v>2.3333333333333335</v>
      </c>
      <c r="T9" s="28"/>
      <c r="U9" s="34"/>
      <c r="V9" s="35"/>
      <c r="W9" s="36"/>
      <c r="X9" s="37"/>
      <c r="Y9" s="38"/>
    </row>
    <row r="10" spans="2:25" ht="39.950000000000003" customHeight="1" thickTop="1" thickBot="1">
      <c r="B10" s="50" t="s">
        <v>104</v>
      </c>
      <c r="C10" s="51"/>
      <c r="D10" s="51"/>
      <c r="E10" s="51"/>
      <c r="F10" s="51"/>
      <c r="G10" s="51"/>
      <c r="H10" s="51"/>
      <c r="I10" s="51"/>
      <c r="J10" s="51"/>
      <c r="K10" s="51"/>
      <c r="L10" s="40"/>
      <c r="M10" s="51"/>
      <c r="N10" s="51"/>
      <c r="O10" s="51"/>
      <c r="P10" s="51"/>
      <c r="Q10" s="51"/>
      <c r="R10" s="51"/>
      <c r="S10" s="69"/>
      <c r="T10" s="69">
        <f>AVERAGE(S11:S15)</f>
        <v>3.2163636363636363</v>
      </c>
      <c r="U10" s="32"/>
      <c r="V10" s="19"/>
      <c r="W10" s="19"/>
      <c r="X10" s="19"/>
      <c r="Y10" s="19"/>
    </row>
    <row r="11" spans="2:25" ht="41.45" customHeight="1" thickBot="1">
      <c r="B11" s="26"/>
      <c r="C11" s="27" t="s">
        <v>105</v>
      </c>
      <c r="D11" s="27" t="s">
        <v>106</v>
      </c>
      <c r="E11" s="39" t="s">
        <v>107</v>
      </c>
      <c r="F11" s="67">
        <v>4</v>
      </c>
      <c r="G11" s="67">
        <v>3</v>
      </c>
      <c r="H11" s="67">
        <v>3</v>
      </c>
      <c r="I11" s="67">
        <v>4</v>
      </c>
      <c r="J11" s="67">
        <v>4</v>
      </c>
      <c r="K11" s="67"/>
      <c r="L11" s="80">
        <v>3</v>
      </c>
      <c r="M11" s="67">
        <v>2</v>
      </c>
      <c r="N11" s="67">
        <v>2</v>
      </c>
      <c r="O11" s="67">
        <v>2</v>
      </c>
      <c r="P11" s="67">
        <v>3</v>
      </c>
      <c r="Q11" s="67">
        <v>2</v>
      </c>
      <c r="R11" s="67">
        <v>3</v>
      </c>
      <c r="S11" s="69">
        <f>+AVERAGE(F11:R11)</f>
        <v>2.9166666666666665</v>
      </c>
      <c r="T11" s="28"/>
      <c r="U11" s="33"/>
      <c r="V11" s="21"/>
      <c r="W11" s="17"/>
      <c r="X11" s="22"/>
      <c r="Y11" s="20"/>
    </row>
    <row r="12" spans="2:25" ht="48.95" customHeight="1" thickBot="1">
      <c r="B12" s="26"/>
      <c r="C12" s="27" t="s">
        <v>108</v>
      </c>
      <c r="D12" s="27" t="s">
        <v>109</v>
      </c>
      <c r="E12" s="39" t="s">
        <v>110</v>
      </c>
      <c r="F12" s="67">
        <v>5</v>
      </c>
      <c r="G12" s="67">
        <v>4</v>
      </c>
      <c r="H12" s="67">
        <v>3</v>
      </c>
      <c r="I12" s="67">
        <v>4</v>
      </c>
      <c r="J12" s="67">
        <v>4</v>
      </c>
      <c r="K12" s="67"/>
      <c r="L12" s="80">
        <v>4</v>
      </c>
      <c r="M12" s="67">
        <v>4</v>
      </c>
      <c r="N12" s="67">
        <v>4</v>
      </c>
      <c r="O12" s="67">
        <v>4</v>
      </c>
      <c r="P12" s="67">
        <v>3</v>
      </c>
      <c r="Q12" s="67">
        <v>5</v>
      </c>
      <c r="R12" s="67">
        <v>5</v>
      </c>
      <c r="S12" s="69">
        <f>+AVERAGE(F12:R12)</f>
        <v>4.083333333333333</v>
      </c>
      <c r="T12" s="28"/>
      <c r="U12" s="33"/>
      <c r="V12" s="21"/>
      <c r="W12" s="17"/>
      <c r="X12" s="22"/>
      <c r="Y12" s="20"/>
    </row>
    <row r="13" spans="2:25" ht="41.45" customHeight="1" thickBot="1">
      <c r="B13" s="26"/>
      <c r="C13" s="27" t="s">
        <v>111</v>
      </c>
      <c r="D13" s="27" t="s">
        <v>112</v>
      </c>
      <c r="E13" s="39" t="s">
        <v>113</v>
      </c>
      <c r="F13" s="67">
        <v>4</v>
      </c>
      <c r="G13" s="67">
        <v>2</v>
      </c>
      <c r="H13" s="67">
        <v>3</v>
      </c>
      <c r="I13" s="67">
        <v>3</v>
      </c>
      <c r="J13" s="67"/>
      <c r="K13" s="67"/>
      <c r="L13" s="80">
        <v>3</v>
      </c>
      <c r="M13" s="67">
        <v>3</v>
      </c>
      <c r="N13" s="67">
        <v>4</v>
      </c>
      <c r="O13" s="67">
        <v>4</v>
      </c>
      <c r="P13" s="67">
        <v>3</v>
      </c>
      <c r="Q13" s="67">
        <v>5</v>
      </c>
      <c r="R13" s="67">
        <v>4</v>
      </c>
      <c r="S13" s="69">
        <f>+AVERAGE(F13:R13)</f>
        <v>3.4545454545454546</v>
      </c>
      <c r="T13" s="28"/>
      <c r="U13" s="58"/>
      <c r="V13" s="21"/>
      <c r="W13" s="17"/>
      <c r="X13" s="22"/>
      <c r="Y13" s="20"/>
    </row>
    <row r="14" spans="2:25" ht="41.45" customHeight="1" thickBot="1">
      <c r="B14" s="26"/>
      <c r="C14" s="27" t="s">
        <v>114</v>
      </c>
      <c r="D14" s="27" t="s">
        <v>115</v>
      </c>
      <c r="E14" s="39" t="s">
        <v>116</v>
      </c>
      <c r="F14" s="67">
        <v>1</v>
      </c>
      <c r="G14" s="67">
        <v>2</v>
      </c>
      <c r="H14" s="67">
        <v>1</v>
      </c>
      <c r="I14" s="67">
        <v>3</v>
      </c>
      <c r="J14" s="67"/>
      <c r="K14" s="67"/>
      <c r="L14" s="80">
        <v>5</v>
      </c>
      <c r="M14" s="67">
        <v>1</v>
      </c>
      <c r="N14" s="67">
        <v>1</v>
      </c>
      <c r="O14" s="67">
        <v>1</v>
      </c>
      <c r="P14" s="67">
        <v>1</v>
      </c>
      <c r="Q14" s="67">
        <v>1</v>
      </c>
      <c r="R14" s="67">
        <v>2</v>
      </c>
      <c r="S14" s="69">
        <f>+AVERAGE(F14:R14)</f>
        <v>1.7272727272727273</v>
      </c>
      <c r="T14" s="61"/>
      <c r="U14" s="58"/>
      <c r="V14" s="21"/>
      <c r="W14" s="17"/>
      <c r="X14" s="22"/>
      <c r="Y14" s="20"/>
    </row>
    <row r="15" spans="2:25" ht="41.45" customHeight="1" thickBot="1">
      <c r="B15" s="41"/>
      <c r="C15" s="42" t="s">
        <v>117</v>
      </c>
      <c r="D15" s="43" t="s">
        <v>118</v>
      </c>
      <c r="E15" s="44" t="s">
        <v>119</v>
      </c>
      <c r="F15" s="67">
        <v>4</v>
      </c>
      <c r="G15" s="67">
        <v>4</v>
      </c>
      <c r="H15" s="67">
        <v>4</v>
      </c>
      <c r="I15" s="67">
        <v>5</v>
      </c>
      <c r="J15" s="67"/>
      <c r="K15" s="67"/>
      <c r="L15" s="80">
        <v>1</v>
      </c>
      <c r="M15" s="67"/>
      <c r="N15" s="67">
        <v>5</v>
      </c>
      <c r="O15" s="67">
        <v>4</v>
      </c>
      <c r="P15" s="67">
        <v>3</v>
      </c>
      <c r="Q15" s="67">
        <v>5</v>
      </c>
      <c r="R15" s="67">
        <v>4</v>
      </c>
      <c r="S15" s="70">
        <f>+AVERAGE(F15:R15)</f>
        <v>3.9</v>
      </c>
      <c r="T15" s="59"/>
      <c r="U15" s="58"/>
      <c r="V15" s="21"/>
      <c r="W15" s="17"/>
      <c r="X15" s="22"/>
      <c r="Y15" s="20"/>
    </row>
    <row r="17" spans="2:4" ht="18.600000000000001">
      <c r="B17" s="53" t="s">
        <v>120</v>
      </c>
    </row>
    <row r="18" spans="2:4" ht="15.95">
      <c r="B18" s="30" t="s">
        <v>121</v>
      </c>
    </row>
    <row r="19" spans="2:4" ht="18.600000000000001">
      <c r="B19" s="29"/>
    </row>
    <row r="20" spans="2:4" ht="45.95" customHeight="1">
      <c r="B20" s="51" t="str">
        <f>B4</f>
        <v xml:space="preserve">Valeur Business </v>
      </c>
      <c r="C20" s="68">
        <f>T4</f>
        <v>2.7666666666666666</v>
      </c>
      <c r="D20" s="74" t="str">
        <f>IF(C20&lt;2.5,"Faible",IF(AND(C20&gt;=2.5,C20&lt;4),"Moyen","Fort"))</f>
        <v>Moyen</v>
      </c>
    </row>
    <row r="21" spans="2:4" ht="45.95" customHeight="1">
      <c r="B21" s="51" t="str">
        <f>B10</f>
        <v>Maturité du Use Case</v>
      </c>
      <c r="C21" s="68">
        <f>T10</f>
        <v>3.2163636363636363</v>
      </c>
      <c r="D21" s="74" t="str">
        <f>IF(C21&lt;2.5,"Faible",IF(AND(C21&gt;=2.5,C21&lt;4),"Moyen","Fort"))</f>
        <v>Moyen</v>
      </c>
    </row>
    <row r="24" spans="2:4" ht="74.099999999999994" customHeight="1">
      <c r="B24" s="91" t="s">
        <v>122</v>
      </c>
      <c r="C24" s="91"/>
      <c r="D24" s="73"/>
    </row>
    <row r="26" spans="2:4" ht="18.600000000000001">
      <c r="B26" s="63" t="str">
        <f>IF(C20&lt;3,"Hors priorité",
   IF(AND(C20&gt;=4,C21&gt;=4),"Hackathon",
      IF(AND(C20&gt;=4,C21&lt;4),"Backlog projet",
         IF(AND(C20&gt;=3,C20&lt;4,C21&gt;=4),"Self AI (Copilot Studio)",
            "Backlog projet"
         )
      )
   )
)</f>
        <v>Hors priorité</v>
      </c>
    </row>
    <row r="28" spans="2:4">
      <c r="B28" s="18" t="s">
        <v>123</v>
      </c>
    </row>
    <row r="29" spans="2:4" ht="217.5">
      <c r="B29" s="62" t="s">
        <v>124</v>
      </c>
    </row>
  </sheetData>
  <protectedRanges>
    <protectedRange sqref="F11:R15" name="Plage1"/>
  </protectedRanges>
  <mergeCells count="2">
    <mergeCell ref="C2:T2"/>
    <mergeCell ref="B24:C24"/>
  </mergeCells>
  <phoneticPr fontId="14" type="noConversion"/>
  <conditionalFormatting sqref="D20:D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sqref="F11:R15 F5:R9" xr:uid="{4061F670-79DC-4413-B403-E7C44F478896}">
      <formula1>0</formula1>
      <formula2>5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D8AA3-7324-449B-842D-4B32EBD00AD6}">
  <dimension ref="B1:Y29"/>
  <sheetViews>
    <sheetView showGridLines="0" topLeftCell="A2" zoomScale="39" zoomScaleNormal="40" workbookViewId="0">
      <pane xSplit="5" ySplit="3" topLeftCell="F5" activePane="bottomRight" state="frozen"/>
      <selection pane="bottomRight" activeCell="H14" sqref="H14"/>
      <selection pane="bottomLeft" activeCell="A5" sqref="A5"/>
      <selection pane="topRight" activeCell="F2" sqref="F2"/>
    </sheetView>
  </sheetViews>
  <sheetFormatPr defaultColWidth="10.7109375" defaultRowHeight="14.45"/>
  <cols>
    <col min="1" max="1" width="4" style="18" customWidth="1"/>
    <col min="2" max="2" width="11.42578125" style="18" customWidth="1"/>
    <col min="3" max="3" width="15.7109375" style="18" customWidth="1"/>
    <col min="4" max="4" width="90.7109375" style="18" customWidth="1"/>
    <col min="5" max="5" width="60.85546875" style="18" customWidth="1"/>
    <col min="6" max="11" width="18.42578125" style="18" customWidth="1"/>
    <col min="12" max="12" width="18.42578125" style="56" customWidth="1"/>
    <col min="13" max="18" width="18.42578125" style="18" customWidth="1"/>
    <col min="19" max="19" width="10.42578125" style="18" customWidth="1"/>
    <col min="20" max="20" width="15.28515625" style="18" customWidth="1"/>
    <col min="21" max="21" width="10.7109375" style="18" bestFit="1"/>
    <col min="22" max="22" width="15" style="18" customWidth="1"/>
    <col min="23" max="16384" width="10.7109375" style="18"/>
  </cols>
  <sheetData>
    <row r="1" spans="2:25" ht="15" thickBot="1"/>
    <row r="2" spans="2:25" ht="32.1" customHeight="1">
      <c r="B2" s="23" t="s">
        <v>125</v>
      </c>
      <c r="C2" s="92" t="s">
        <v>126</v>
      </c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31"/>
    </row>
    <row r="3" spans="2:25" ht="63.6" customHeight="1" thickBot="1">
      <c r="B3" s="25" t="s">
        <v>1</v>
      </c>
      <c r="C3" s="25" t="s">
        <v>2</v>
      </c>
      <c r="D3" s="25" t="s">
        <v>73</v>
      </c>
      <c r="E3" s="25" t="s">
        <v>74</v>
      </c>
      <c r="F3" s="25" t="s">
        <v>75</v>
      </c>
      <c r="G3" s="25" t="s">
        <v>76</v>
      </c>
      <c r="H3" s="25" t="s">
        <v>77</v>
      </c>
      <c r="I3" s="25" t="s">
        <v>78</v>
      </c>
      <c r="J3" s="25" t="s">
        <v>79</v>
      </c>
      <c r="K3" s="25" t="s">
        <v>80</v>
      </c>
      <c r="L3" s="25" t="s">
        <v>81</v>
      </c>
      <c r="M3" s="25" t="s">
        <v>82</v>
      </c>
      <c r="N3" s="25" t="s">
        <v>83</v>
      </c>
      <c r="O3" s="25" t="s">
        <v>84</v>
      </c>
      <c r="P3" s="25" t="s">
        <v>85</v>
      </c>
      <c r="Q3" s="25" t="s">
        <v>86</v>
      </c>
      <c r="R3" s="25" t="s">
        <v>87</v>
      </c>
      <c r="S3" s="25" t="s">
        <v>88</v>
      </c>
      <c r="T3" s="25" t="s">
        <v>89</v>
      </c>
      <c r="U3" s="31"/>
    </row>
    <row r="4" spans="2:25" ht="36.950000000000003" customHeight="1" thickTop="1" thickBot="1">
      <c r="B4" s="46" t="s">
        <v>90</v>
      </c>
      <c r="C4" s="47"/>
      <c r="D4" s="47"/>
      <c r="E4" s="47"/>
      <c r="F4" s="47"/>
      <c r="G4" s="47"/>
      <c r="H4" s="47"/>
      <c r="I4" s="47"/>
      <c r="J4" s="47"/>
      <c r="K4" s="47"/>
      <c r="L4" s="48"/>
      <c r="M4" s="47"/>
      <c r="N4" s="47"/>
      <c r="O4" s="47"/>
      <c r="P4" s="47"/>
      <c r="Q4" s="47"/>
      <c r="R4" s="47"/>
      <c r="S4" s="48"/>
      <c r="T4" s="71">
        <f>AVERAGE(S5:S9)</f>
        <v>2.5384615384615388</v>
      </c>
      <c r="U4" s="32"/>
      <c r="V4" s="19"/>
      <c r="W4" s="19"/>
      <c r="X4" s="19"/>
      <c r="Y4" s="19"/>
    </row>
    <row r="5" spans="2:25" ht="37.5" customHeight="1" thickBot="1">
      <c r="B5" s="26"/>
      <c r="C5" s="27" t="s">
        <v>91</v>
      </c>
      <c r="D5" s="27" t="s">
        <v>92</v>
      </c>
      <c r="E5" s="39" t="s">
        <v>93</v>
      </c>
      <c r="F5" s="67">
        <v>3</v>
      </c>
      <c r="G5" s="67">
        <v>3</v>
      </c>
      <c r="H5" s="67">
        <v>3</v>
      </c>
      <c r="I5" s="67">
        <v>3</v>
      </c>
      <c r="J5" s="67">
        <v>3</v>
      </c>
      <c r="K5" s="67">
        <v>3</v>
      </c>
      <c r="L5" s="80">
        <v>3</v>
      </c>
      <c r="M5" s="67">
        <v>3</v>
      </c>
      <c r="N5" s="67">
        <v>3</v>
      </c>
      <c r="O5" s="67">
        <v>4</v>
      </c>
      <c r="P5" s="67">
        <v>3</v>
      </c>
      <c r="Q5" s="67">
        <v>3</v>
      </c>
      <c r="R5" s="67">
        <v>4</v>
      </c>
      <c r="S5" s="69">
        <f>AVERAGE(F5:R5)</f>
        <v>3.1538461538461537</v>
      </c>
      <c r="T5" s="76"/>
      <c r="U5" s="33"/>
      <c r="W5" s="17"/>
      <c r="X5" s="65"/>
      <c r="Y5" s="20"/>
    </row>
    <row r="6" spans="2:25" ht="37.5" customHeight="1" thickBot="1">
      <c r="B6" s="26"/>
      <c r="C6" s="27" t="s">
        <v>41</v>
      </c>
      <c r="D6" s="27" t="s">
        <v>94</v>
      </c>
      <c r="E6" s="39" t="s">
        <v>95</v>
      </c>
      <c r="F6" s="67">
        <v>2</v>
      </c>
      <c r="G6" s="67">
        <v>3</v>
      </c>
      <c r="H6" s="67">
        <v>2</v>
      </c>
      <c r="I6" s="67">
        <v>2</v>
      </c>
      <c r="J6" s="67">
        <v>3</v>
      </c>
      <c r="K6" s="67">
        <v>2</v>
      </c>
      <c r="L6" s="80">
        <v>1</v>
      </c>
      <c r="M6" s="67">
        <v>2</v>
      </c>
      <c r="N6" s="67">
        <v>2</v>
      </c>
      <c r="O6" s="67">
        <v>3</v>
      </c>
      <c r="P6" s="67">
        <v>2</v>
      </c>
      <c r="Q6" s="67">
        <v>2</v>
      </c>
      <c r="R6" s="67">
        <v>3</v>
      </c>
      <c r="S6" s="69">
        <f>AVERAGE(F6:R6)</f>
        <v>2.2307692307692308</v>
      </c>
      <c r="T6" s="76"/>
      <c r="U6" s="33"/>
      <c r="W6" s="17"/>
      <c r="X6" s="65"/>
      <c r="Y6" s="20"/>
    </row>
    <row r="7" spans="2:25" ht="37.5" customHeight="1" thickBot="1">
      <c r="B7" s="26"/>
      <c r="C7" s="27" t="s">
        <v>52</v>
      </c>
      <c r="D7" s="27" t="s">
        <v>96</v>
      </c>
      <c r="E7" s="39" t="s">
        <v>97</v>
      </c>
      <c r="F7" s="67">
        <v>3</v>
      </c>
      <c r="G7" s="67">
        <v>2</v>
      </c>
      <c r="H7" s="67">
        <v>2</v>
      </c>
      <c r="I7" s="67">
        <v>3</v>
      </c>
      <c r="J7" s="67">
        <v>2</v>
      </c>
      <c r="K7" s="67">
        <v>2</v>
      </c>
      <c r="L7" s="80">
        <v>2</v>
      </c>
      <c r="M7" s="67">
        <v>2</v>
      </c>
      <c r="N7" s="67">
        <v>3</v>
      </c>
      <c r="O7" s="67">
        <v>4</v>
      </c>
      <c r="P7" s="67">
        <v>3</v>
      </c>
      <c r="Q7" s="67">
        <v>3</v>
      </c>
      <c r="R7" s="67">
        <v>3</v>
      </c>
      <c r="S7" s="69">
        <f>AVERAGE(F7:R7)</f>
        <v>2.6153846153846154</v>
      </c>
      <c r="T7" s="76"/>
      <c r="U7" s="33"/>
      <c r="W7" s="17"/>
      <c r="X7" s="65"/>
      <c r="Y7" s="20"/>
    </row>
    <row r="8" spans="2:25" ht="41.45" customHeight="1" thickBot="1">
      <c r="B8" s="26"/>
      <c r="C8" s="27" t="s">
        <v>98</v>
      </c>
      <c r="D8" s="27" t="s">
        <v>99</v>
      </c>
      <c r="E8" s="39" t="s">
        <v>100</v>
      </c>
      <c r="F8" s="67">
        <v>3</v>
      </c>
      <c r="G8" s="67">
        <v>2</v>
      </c>
      <c r="H8" s="67">
        <v>2</v>
      </c>
      <c r="I8" s="67">
        <v>3</v>
      </c>
      <c r="J8" s="67">
        <v>2</v>
      </c>
      <c r="K8" s="67">
        <v>2</v>
      </c>
      <c r="L8" s="80">
        <v>4</v>
      </c>
      <c r="M8" s="67">
        <v>3</v>
      </c>
      <c r="N8" s="67">
        <v>2</v>
      </c>
      <c r="O8" s="67">
        <v>3</v>
      </c>
      <c r="P8" s="67">
        <v>2</v>
      </c>
      <c r="Q8" s="67">
        <v>2</v>
      </c>
      <c r="R8" s="67">
        <v>2</v>
      </c>
      <c r="S8" s="69">
        <f>AVERAGE(F8:R8)</f>
        <v>2.4615384615384617</v>
      </c>
      <c r="T8" s="76"/>
      <c r="U8" s="33"/>
      <c r="V8" s="21"/>
      <c r="W8" s="17"/>
      <c r="X8" s="65"/>
      <c r="Y8" s="20"/>
    </row>
    <row r="9" spans="2:25" ht="37.5" customHeight="1" thickBot="1">
      <c r="B9" s="26"/>
      <c r="C9" s="27" t="s">
        <v>101</v>
      </c>
      <c r="D9" s="27" t="s">
        <v>102</v>
      </c>
      <c r="E9" s="39" t="s">
        <v>103</v>
      </c>
      <c r="F9" s="67">
        <v>3</v>
      </c>
      <c r="G9" s="67">
        <v>3</v>
      </c>
      <c r="H9" s="67">
        <v>2</v>
      </c>
      <c r="I9" s="67">
        <v>2</v>
      </c>
      <c r="J9" s="67">
        <v>2</v>
      </c>
      <c r="K9" s="67">
        <v>2</v>
      </c>
      <c r="L9" s="80">
        <v>2</v>
      </c>
      <c r="M9" s="67">
        <v>2</v>
      </c>
      <c r="N9" s="67">
        <v>2</v>
      </c>
      <c r="O9" s="67">
        <v>3</v>
      </c>
      <c r="P9" s="67">
        <v>2</v>
      </c>
      <c r="Q9" s="67">
        <v>2</v>
      </c>
      <c r="R9" s="67">
        <v>2</v>
      </c>
      <c r="S9" s="69">
        <f>AVERAGE(F9:R9)</f>
        <v>2.2307692307692308</v>
      </c>
      <c r="T9" s="76"/>
      <c r="U9" s="34"/>
      <c r="V9" s="35"/>
      <c r="W9" s="36"/>
      <c r="X9" s="66"/>
      <c r="Y9" s="38"/>
    </row>
    <row r="10" spans="2:25" ht="39.950000000000003" customHeight="1" thickTop="1" thickBot="1">
      <c r="B10" s="50" t="s">
        <v>104</v>
      </c>
      <c r="C10" s="51"/>
      <c r="D10" s="51"/>
      <c r="E10" s="51"/>
      <c r="F10" s="51"/>
      <c r="G10" s="51"/>
      <c r="H10" s="51"/>
      <c r="I10" s="51"/>
      <c r="J10" s="51"/>
      <c r="K10" s="51"/>
      <c r="L10" s="40"/>
      <c r="M10" s="51"/>
      <c r="N10" s="51"/>
      <c r="O10" s="51"/>
      <c r="P10" s="51"/>
      <c r="Q10" s="51"/>
      <c r="R10" s="51"/>
      <c r="S10" s="69"/>
      <c r="T10" s="69">
        <f>AVERAGE(S11:S15)</f>
        <v>2.4733333333333336</v>
      </c>
      <c r="U10" s="32"/>
      <c r="V10" s="19"/>
      <c r="W10" s="19"/>
      <c r="X10" s="19"/>
      <c r="Y10" s="19"/>
    </row>
    <row r="11" spans="2:25" ht="41.45" customHeight="1" thickBot="1">
      <c r="B11" s="26"/>
      <c r="C11" s="27" t="s">
        <v>105</v>
      </c>
      <c r="D11" s="27" t="s">
        <v>106</v>
      </c>
      <c r="E11" s="39" t="s">
        <v>107</v>
      </c>
      <c r="F11" s="67">
        <v>3</v>
      </c>
      <c r="G11" s="67">
        <v>2</v>
      </c>
      <c r="H11" s="67">
        <v>2</v>
      </c>
      <c r="I11" s="67">
        <v>3</v>
      </c>
      <c r="J11" s="67">
        <v>3</v>
      </c>
      <c r="K11" s="67"/>
      <c r="L11" s="80">
        <v>2</v>
      </c>
      <c r="M11" s="67">
        <v>2</v>
      </c>
      <c r="N11" s="67">
        <v>2</v>
      </c>
      <c r="O11" s="67">
        <v>3</v>
      </c>
      <c r="P11" s="67">
        <v>3</v>
      </c>
      <c r="Q11" s="67">
        <v>2</v>
      </c>
      <c r="R11" s="67">
        <v>2</v>
      </c>
      <c r="S11" s="69">
        <f>+AVERAGE(F11:R11)</f>
        <v>2.4166666666666665</v>
      </c>
      <c r="T11" s="76"/>
      <c r="U11" s="33"/>
      <c r="V11" s="21"/>
      <c r="W11" s="17"/>
      <c r="X11" s="65"/>
      <c r="Y11" s="20"/>
    </row>
    <row r="12" spans="2:25" ht="48.95" customHeight="1" thickBot="1">
      <c r="B12" s="26"/>
      <c r="C12" s="27" t="s">
        <v>108</v>
      </c>
      <c r="D12" s="27" t="s">
        <v>109</v>
      </c>
      <c r="E12" s="39" t="s">
        <v>110</v>
      </c>
      <c r="F12" s="67">
        <v>1</v>
      </c>
      <c r="G12" s="67">
        <v>1</v>
      </c>
      <c r="H12" s="67">
        <v>1</v>
      </c>
      <c r="I12" s="67">
        <v>3</v>
      </c>
      <c r="J12" s="67">
        <v>1</v>
      </c>
      <c r="K12" s="67"/>
      <c r="L12" s="80">
        <v>2</v>
      </c>
      <c r="M12" s="67">
        <v>1</v>
      </c>
      <c r="N12" s="67">
        <v>2</v>
      </c>
      <c r="O12" s="67">
        <v>2</v>
      </c>
      <c r="P12" s="67">
        <v>2</v>
      </c>
      <c r="Q12" s="67">
        <v>3</v>
      </c>
      <c r="R12" s="67">
        <v>2</v>
      </c>
      <c r="S12" s="69">
        <f>+AVERAGE(F12:R12)</f>
        <v>1.75</v>
      </c>
      <c r="T12" s="76"/>
      <c r="U12" s="33"/>
      <c r="V12" s="21"/>
      <c r="W12" s="17"/>
      <c r="X12" s="65"/>
      <c r="Y12" s="20"/>
    </row>
    <row r="13" spans="2:25" ht="41.45" customHeight="1" thickBot="1">
      <c r="B13" s="26"/>
      <c r="C13" s="27" t="s">
        <v>111</v>
      </c>
      <c r="D13" s="27" t="s">
        <v>112</v>
      </c>
      <c r="E13" s="39" t="s">
        <v>127</v>
      </c>
      <c r="F13" s="67">
        <v>2</v>
      </c>
      <c r="G13" s="67">
        <v>1</v>
      </c>
      <c r="H13" s="67">
        <v>1</v>
      </c>
      <c r="I13" s="67">
        <v>2</v>
      </c>
      <c r="J13" s="67"/>
      <c r="K13" s="67"/>
      <c r="L13" s="80">
        <v>2</v>
      </c>
      <c r="M13" s="67">
        <v>1</v>
      </c>
      <c r="N13" s="67">
        <v>2</v>
      </c>
      <c r="O13" s="67">
        <v>3</v>
      </c>
      <c r="P13" s="67">
        <v>2</v>
      </c>
      <c r="Q13" s="67">
        <v>2</v>
      </c>
      <c r="R13" s="67">
        <v>2</v>
      </c>
      <c r="S13" s="69">
        <f>+AVERAGE(F13:R13)</f>
        <v>1.8181818181818181</v>
      </c>
      <c r="T13" s="76"/>
      <c r="U13" s="58"/>
      <c r="V13" s="21"/>
      <c r="W13" s="17"/>
      <c r="X13" s="65"/>
      <c r="Y13" s="20"/>
    </row>
    <row r="14" spans="2:25" ht="41.45" customHeight="1" thickBot="1">
      <c r="B14" s="26"/>
      <c r="C14" s="27" t="s">
        <v>114</v>
      </c>
      <c r="D14" s="27" t="s">
        <v>115</v>
      </c>
      <c r="E14" s="39" t="s">
        <v>116</v>
      </c>
      <c r="F14" s="67">
        <v>3</v>
      </c>
      <c r="G14" s="67">
        <v>4</v>
      </c>
      <c r="H14" s="67">
        <v>3</v>
      </c>
      <c r="I14" s="67">
        <v>3</v>
      </c>
      <c r="J14" s="67"/>
      <c r="K14" s="67"/>
      <c r="L14" s="80">
        <v>4</v>
      </c>
      <c r="M14" s="67">
        <v>3</v>
      </c>
      <c r="N14" s="67">
        <v>2</v>
      </c>
      <c r="O14" s="67">
        <v>4</v>
      </c>
      <c r="P14" s="67">
        <v>2</v>
      </c>
      <c r="Q14" s="67">
        <v>4</v>
      </c>
      <c r="R14" s="67">
        <v>3</v>
      </c>
      <c r="S14" s="69">
        <f>+AVERAGE(F14:R14)</f>
        <v>3.1818181818181817</v>
      </c>
      <c r="T14" s="77"/>
      <c r="U14" s="58"/>
      <c r="V14" s="21"/>
      <c r="W14" s="17"/>
      <c r="X14" s="65"/>
      <c r="Y14" s="20"/>
    </row>
    <row r="15" spans="2:25" ht="41.45" customHeight="1" thickBot="1">
      <c r="B15" s="41"/>
      <c r="C15" s="42" t="s">
        <v>117</v>
      </c>
      <c r="D15" s="43" t="s">
        <v>118</v>
      </c>
      <c r="E15" s="44" t="s">
        <v>119</v>
      </c>
      <c r="F15" s="67">
        <v>2</v>
      </c>
      <c r="G15" s="67">
        <v>2</v>
      </c>
      <c r="H15" s="67">
        <v>3</v>
      </c>
      <c r="I15" s="67">
        <v>3</v>
      </c>
      <c r="J15" s="67"/>
      <c r="K15" s="67"/>
      <c r="L15" s="80">
        <v>2</v>
      </c>
      <c r="M15" s="67"/>
      <c r="N15" s="67">
        <v>4</v>
      </c>
      <c r="O15" s="67">
        <v>4</v>
      </c>
      <c r="P15" s="67">
        <v>3</v>
      </c>
      <c r="Q15" s="67">
        <v>5</v>
      </c>
      <c r="R15" s="67">
        <v>4</v>
      </c>
      <c r="S15" s="70">
        <f>+AVERAGE(F15:R15)</f>
        <v>3.2</v>
      </c>
      <c r="T15" s="59"/>
      <c r="U15" s="58"/>
      <c r="V15" s="21"/>
      <c r="W15" s="17"/>
      <c r="X15" s="65"/>
      <c r="Y15" s="20"/>
    </row>
    <row r="17" spans="2:4" ht="18.600000000000001">
      <c r="B17" s="53" t="s">
        <v>120</v>
      </c>
    </row>
    <row r="18" spans="2:4" ht="15.95">
      <c r="B18" s="30" t="s">
        <v>121</v>
      </c>
    </row>
    <row r="19" spans="2:4" ht="18.600000000000001">
      <c r="B19" s="29"/>
    </row>
    <row r="20" spans="2:4" ht="45.95" customHeight="1">
      <c r="B20" s="51" t="str">
        <f>B4</f>
        <v xml:space="preserve">Valeur Business </v>
      </c>
      <c r="C20" s="75">
        <f>T4</f>
        <v>2.5384615384615388</v>
      </c>
      <c r="D20" s="64" t="str">
        <f>IF(C20&lt;2.5,"Faible",IF(AND(C20&gt;=2.5,C20&lt;4),"Moyen","Fort"))</f>
        <v>Moyen</v>
      </c>
    </row>
    <row r="21" spans="2:4" ht="45.95" customHeight="1">
      <c r="B21" s="51" t="str">
        <f>B10</f>
        <v>Maturité du Use Case</v>
      </c>
      <c r="C21" s="75">
        <f>T10</f>
        <v>2.4733333333333336</v>
      </c>
      <c r="D21" s="64" t="str">
        <f>IF(C21&lt;2.5,"Faible",IF(AND(C21&gt;=2.5,C21&lt;4),"Moyen","Fort"))</f>
        <v>Faible</v>
      </c>
    </row>
    <row r="24" spans="2:4" ht="74.45" customHeight="1">
      <c r="B24" s="91" t="s">
        <v>122</v>
      </c>
      <c r="C24" s="91"/>
      <c r="D24" s="73"/>
    </row>
    <row r="26" spans="2:4" ht="18.600000000000001">
      <c r="B26" s="63" t="str">
        <f>IF(C20&lt;3,"Hors priorité",
   IF(AND(C20&gt;=4,C21&gt;=4),"Hackathon",
      IF(AND(C20&gt;=4,C21&lt;4),"Backlog projet",
         IF(AND(C20&gt;=3,C20&lt;4,C21&gt;=4),"Self AI (Copilot Studio)",
            "Backlog projet"
         )
      )
   )
)</f>
        <v>Hors priorité</v>
      </c>
    </row>
    <row r="28" spans="2:4">
      <c r="B28" s="18" t="s">
        <v>123</v>
      </c>
    </row>
    <row r="29" spans="2:4" ht="188.45">
      <c r="B29" s="62" t="s">
        <v>124</v>
      </c>
    </row>
  </sheetData>
  <mergeCells count="2">
    <mergeCell ref="C2:T2"/>
    <mergeCell ref="B24:C24"/>
  </mergeCells>
  <conditionalFormatting sqref="D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sqref="F11:R15 F5:R9" xr:uid="{C256CB3D-4D89-45ED-9FE1-5AA6FF4D6FF5}">
      <formula1>0</formula1>
      <formula2>5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F4A4B-9FC7-4F7D-A708-1BFB1A70D701}">
  <dimension ref="B1:Y29"/>
  <sheetViews>
    <sheetView showGridLines="0" topLeftCell="B1" zoomScale="49" zoomScaleNormal="40" workbookViewId="0">
      <pane xSplit="4" ySplit="3" topLeftCell="F4" activePane="bottomRight" state="frozen"/>
      <selection pane="bottomRight" activeCell="F15" sqref="F15"/>
      <selection pane="bottomLeft" activeCell="B4" sqref="B4"/>
      <selection pane="topRight" activeCell="F1" sqref="F1"/>
    </sheetView>
  </sheetViews>
  <sheetFormatPr defaultColWidth="10.7109375" defaultRowHeight="14.45"/>
  <cols>
    <col min="1" max="1" width="4" style="18" customWidth="1"/>
    <col min="2" max="3" width="17.140625" style="18" customWidth="1"/>
    <col min="4" max="4" width="62.5703125" style="18" customWidth="1"/>
    <col min="5" max="5" width="37.85546875" style="18" customWidth="1"/>
    <col min="6" max="11" width="18.42578125" style="18" customWidth="1"/>
    <col min="12" max="12" width="18.42578125" style="56" customWidth="1"/>
    <col min="13" max="18" width="18.42578125" style="18" customWidth="1"/>
    <col min="19" max="19" width="10.42578125" style="18" customWidth="1"/>
    <col min="20" max="20" width="15.28515625" style="18" customWidth="1"/>
    <col min="21" max="21" width="10.7109375" style="18" bestFit="1"/>
    <col min="22" max="22" width="15" style="18" customWidth="1"/>
    <col min="23" max="16384" width="10.7109375" style="18"/>
  </cols>
  <sheetData>
    <row r="1" spans="2:25" ht="15" thickBot="1"/>
    <row r="2" spans="2:25" ht="32.1" customHeight="1">
      <c r="B2" s="23" t="s">
        <v>128</v>
      </c>
      <c r="C2" s="92" t="s">
        <v>129</v>
      </c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31"/>
    </row>
    <row r="3" spans="2:25" ht="63.6" customHeight="1" thickBot="1">
      <c r="B3" s="25" t="s">
        <v>1</v>
      </c>
      <c r="C3" s="25" t="s">
        <v>2</v>
      </c>
      <c r="D3" s="25" t="s">
        <v>73</v>
      </c>
      <c r="E3" s="25" t="s">
        <v>74</v>
      </c>
      <c r="F3" s="25" t="s">
        <v>75</v>
      </c>
      <c r="G3" s="25" t="s">
        <v>76</v>
      </c>
      <c r="H3" s="25" t="s">
        <v>77</v>
      </c>
      <c r="I3" s="25" t="s">
        <v>78</v>
      </c>
      <c r="J3" s="25" t="s">
        <v>79</v>
      </c>
      <c r="K3" s="25" t="s">
        <v>80</v>
      </c>
      <c r="L3" s="25" t="s">
        <v>81</v>
      </c>
      <c r="M3" s="25" t="s">
        <v>82</v>
      </c>
      <c r="N3" s="25" t="s">
        <v>83</v>
      </c>
      <c r="O3" s="25" t="s">
        <v>84</v>
      </c>
      <c r="P3" s="25" t="s">
        <v>130</v>
      </c>
      <c r="Q3" s="25" t="s">
        <v>86</v>
      </c>
      <c r="R3" s="25" t="s">
        <v>87</v>
      </c>
      <c r="S3" s="25" t="s">
        <v>88</v>
      </c>
      <c r="T3" s="25" t="s">
        <v>89</v>
      </c>
      <c r="U3" s="31"/>
    </row>
    <row r="4" spans="2:25" ht="36.950000000000003" customHeight="1" thickTop="1" thickBot="1">
      <c r="B4" s="46" t="s">
        <v>90</v>
      </c>
      <c r="C4" s="47"/>
      <c r="D4" s="47"/>
      <c r="E4" s="47"/>
      <c r="F4" s="47"/>
      <c r="G4" s="47"/>
      <c r="H4" s="47"/>
      <c r="I4" s="47"/>
      <c r="J4" s="47"/>
      <c r="K4" s="47"/>
      <c r="L4" s="48"/>
      <c r="M4" s="47"/>
      <c r="N4" s="47"/>
      <c r="O4" s="47"/>
      <c r="P4" s="47"/>
      <c r="Q4" s="47"/>
      <c r="R4" s="47"/>
      <c r="S4" s="48"/>
      <c r="T4" s="71">
        <f>AVERAGE(S5:S9)</f>
        <v>2.2153846153846155</v>
      </c>
      <c r="U4" s="32"/>
      <c r="V4" s="19"/>
      <c r="W4" s="19"/>
      <c r="X4" s="19"/>
      <c r="Y4" s="19"/>
    </row>
    <row r="5" spans="2:25" ht="37.5" customHeight="1" thickBot="1">
      <c r="B5" s="26"/>
      <c r="C5" s="27" t="s">
        <v>91</v>
      </c>
      <c r="D5" s="27" t="s">
        <v>92</v>
      </c>
      <c r="E5" s="39" t="s">
        <v>93</v>
      </c>
      <c r="F5" s="67">
        <v>2</v>
      </c>
      <c r="G5" s="67">
        <v>2</v>
      </c>
      <c r="H5" s="67">
        <v>2</v>
      </c>
      <c r="I5" s="67">
        <v>3</v>
      </c>
      <c r="J5" s="67">
        <v>2</v>
      </c>
      <c r="K5" s="67">
        <v>5</v>
      </c>
      <c r="L5" s="80">
        <v>2</v>
      </c>
      <c r="M5" s="67">
        <v>2</v>
      </c>
      <c r="N5" s="67">
        <v>2</v>
      </c>
      <c r="O5" s="67">
        <v>2</v>
      </c>
      <c r="P5" s="67">
        <v>2</v>
      </c>
      <c r="Q5" s="67">
        <v>3</v>
      </c>
      <c r="R5" s="67">
        <v>2</v>
      </c>
      <c r="S5" s="69">
        <f>AVERAGE(F5:R5)</f>
        <v>2.3846153846153846</v>
      </c>
      <c r="T5" s="76"/>
      <c r="U5" s="33"/>
      <c r="W5" s="17"/>
      <c r="X5" s="65"/>
      <c r="Y5" s="20"/>
    </row>
    <row r="6" spans="2:25" ht="37.5" customHeight="1" thickBot="1">
      <c r="B6" s="26"/>
      <c r="C6" s="27" t="s">
        <v>41</v>
      </c>
      <c r="D6" s="27" t="s">
        <v>94</v>
      </c>
      <c r="E6" s="39" t="s">
        <v>95</v>
      </c>
      <c r="F6" s="67">
        <v>1</v>
      </c>
      <c r="G6" s="67">
        <v>1</v>
      </c>
      <c r="H6" s="67">
        <v>0</v>
      </c>
      <c r="I6" s="67">
        <v>1</v>
      </c>
      <c r="J6" s="67">
        <v>1</v>
      </c>
      <c r="K6" s="67">
        <v>1</v>
      </c>
      <c r="L6" s="80">
        <v>1</v>
      </c>
      <c r="M6" s="67">
        <v>1</v>
      </c>
      <c r="N6" s="67">
        <v>1</v>
      </c>
      <c r="O6" s="67">
        <v>4</v>
      </c>
      <c r="P6" s="67">
        <v>2</v>
      </c>
      <c r="Q6" s="67">
        <v>1</v>
      </c>
      <c r="R6" s="67">
        <v>2</v>
      </c>
      <c r="S6" s="69">
        <f>AVERAGE(F6:R6)</f>
        <v>1.3076923076923077</v>
      </c>
      <c r="T6" s="76"/>
      <c r="U6" s="33"/>
      <c r="W6" s="17"/>
      <c r="X6" s="65"/>
      <c r="Y6" s="20"/>
    </row>
    <row r="7" spans="2:25" ht="37.5" customHeight="1" thickBot="1">
      <c r="B7" s="26"/>
      <c r="C7" s="27" t="s">
        <v>52</v>
      </c>
      <c r="D7" s="27" t="s">
        <v>96</v>
      </c>
      <c r="E7" s="39" t="s">
        <v>97</v>
      </c>
      <c r="F7" s="67">
        <v>4</v>
      </c>
      <c r="G7" s="67">
        <v>5</v>
      </c>
      <c r="H7" s="67">
        <v>4</v>
      </c>
      <c r="I7" s="67">
        <v>4</v>
      </c>
      <c r="J7" s="67">
        <v>2</v>
      </c>
      <c r="K7" s="67">
        <v>4</v>
      </c>
      <c r="L7" s="80">
        <v>2</v>
      </c>
      <c r="M7" s="67">
        <v>4</v>
      </c>
      <c r="N7" s="67">
        <v>4</v>
      </c>
      <c r="O7" s="67">
        <v>4</v>
      </c>
      <c r="P7" s="67">
        <v>4</v>
      </c>
      <c r="Q7" s="67">
        <v>4</v>
      </c>
      <c r="R7" s="67">
        <v>4</v>
      </c>
      <c r="S7" s="69">
        <f>AVERAGE(F7:R7)</f>
        <v>3.7692307692307692</v>
      </c>
      <c r="T7" s="76"/>
      <c r="U7" s="33"/>
      <c r="W7" s="17"/>
      <c r="X7" s="65"/>
      <c r="Y7" s="20"/>
    </row>
    <row r="8" spans="2:25" ht="41.45" customHeight="1" thickBot="1">
      <c r="B8" s="26"/>
      <c r="C8" s="27" t="s">
        <v>98</v>
      </c>
      <c r="D8" s="27" t="s">
        <v>99</v>
      </c>
      <c r="E8" s="39" t="s">
        <v>100</v>
      </c>
      <c r="F8" s="67">
        <v>2</v>
      </c>
      <c r="G8" s="67">
        <v>1</v>
      </c>
      <c r="H8" s="67">
        <v>3</v>
      </c>
      <c r="I8" s="67">
        <v>4</v>
      </c>
      <c r="J8" s="67">
        <v>2</v>
      </c>
      <c r="K8" s="67">
        <v>3</v>
      </c>
      <c r="L8" s="80">
        <v>3</v>
      </c>
      <c r="M8" s="67">
        <v>2</v>
      </c>
      <c r="N8" s="67">
        <v>3</v>
      </c>
      <c r="O8" s="67">
        <v>2</v>
      </c>
      <c r="P8" s="67">
        <v>3</v>
      </c>
      <c r="Q8" s="67">
        <v>1</v>
      </c>
      <c r="R8" s="67">
        <v>2</v>
      </c>
      <c r="S8" s="69">
        <f>AVERAGE(F8:R8)</f>
        <v>2.3846153846153846</v>
      </c>
      <c r="T8" s="76"/>
      <c r="U8" s="33"/>
      <c r="V8" s="21"/>
      <c r="W8" s="17"/>
      <c r="X8" s="65"/>
      <c r="Y8" s="20"/>
    </row>
    <row r="9" spans="2:25" ht="48.6" thickBot="1">
      <c r="B9" s="26"/>
      <c r="C9" s="27" t="s">
        <v>101</v>
      </c>
      <c r="D9" s="27" t="s">
        <v>102</v>
      </c>
      <c r="E9" s="39" t="s">
        <v>103</v>
      </c>
      <c r="F9" s="67">
        <v>1</v>
      </c>
      <c r="G9" s="67">
        <v>2</v>
      </c>
      <c r="H9" s="67">
        <v>0</v>
      </c>
      <c r="I9" s="67">
        <v>1</v>
      </c>
      <c r="J9" s="67">
        <v>1</v>
      </c>
      <c r="K9" s="67">
        <v>4</v>
      </c>
      <c r="L9" s="80">
        <v>1</v>
      </c>
      <c r="M9" s="67">
        <v>1</v>
      </c>
      <c r="N9" s="67">
        <v>1</v>
      </c>
      <c r="O9" s="67">
        <v>1</v>
      </c>
      <c r="P9" s="67">
        <v>1</v>
      </c>
      <c r="Q9" s="67">
        <v>1</v>
      </c>
      <c r="R9" s="67">
        <v>1</v>
      </c>
      <c r="S9" s="69">
        <f>AVERAGE(F9:R9)</f>
        <v>1.2307692307692308</v>
      </c>
      <c r="T9" s="76"/>
      <c r="U9" s="34"/>
      <c r="V9" s="35"/>
      <c r="W9" s="36"/>
      <c r="X9" s="66"/>
      <c r="Y9" s="38"/>
    </row>
    <row r="10" spans="2:25" ht="39.950000000000003" customHeight="1" thickTop="1" thickBot="1">
      <c r="B10" s="50" t="s">
        <v>104</v>
      </c>
      <c r="C10" s="51"/>
      <c r="D10" s="51"/>
      <c r="E10" s="51"/>
      <c r="F10" s="51"/>
      <c r="G10" s="51"/>
      <c r="H10" s="51"/>
      <c r="I10" s="51"/>
      <c r="J10" s="51"/>
      <c r="K10" s="51"/>
      <c r="L10" s="40"/>
      <c r="M10" s="51"/>
      <c r="N10" s="51"/>
      <c r="O10" s="51"/>
      <c r="P10" s="51"/>
      <c r="Q10" s="51"/>
      <c r="R10" s="51"/>
      <c r="S10" s="69"/>
      <c r="T10" s="69">
        <f>AVERAGE(S11:S15)</f>
        <v>3.5078088578088584</v>
      </c>
      <c r="U10" s="32"/>
      <c r="V10" s="19"/>
      <c r="W10" s="19"/>
      <c r="X10" s="19"/>
      <c r="Y10" s="19"/>
    </row>
    <row r="11" spans="2:25" ht="52.5" customHeight="1" thickBot="1">
      <c r="B11" s="26"/>
      <c r="C11" s="27" t="s">
        <v>105</v>
      </c>
      <c r="D11" s="27" t="s">
        <v>106</v>
      </c>
      <c r="E11" s="39" t="s">
        <v>107</v>
      </c>
      <c r="F11" s="67">
        <v>4</v>
      </c>
      <c r="G11" s="67">
        <v>4</v>
      </c>
      <c r="H11" s="67">
        <v>2</v>
      </c>
      <c r="I11" s="67">
        <v>3</v>
      </c>
      <c r="J11" s="67">
        <v>2</v>
      </c>
      <c r="K11" s="67">
        <v>2</v>
      </c>
      <c r="L11" s="80">
        <v>3</v>
      </c>
      <c r="M11" s="67">
        <v>3</v>
      </c>
      <c r="N11" s="67">
        <v>4</v>
      </c>
      <c r="O11" s="67">
        <v>4</v>
      </c>
      <c r="P11" s="67">
        <v>2</v>
      </c>
      <c r="Q11" s="67">
        <v>3</v>
      </c>
      <c r="R11" s="67">
        <v>2</v>
      </c>
      <c r="S11" s="69">
        <f>+AVERAGE(F11:R11)</f>
        <v>2.9230769230769229</v>
      </c>
      <c r="T11" s="76"/>
      <c r="U11" s="33"/>
      <c r="V11" s="21"/>
      <c r="W11" s="17"/>
      <c r="X11" s="65"/>
      <c r="Y11" s="20"/>
    </row>
    <row r="12" spans="2:25" ht="48.95" customHeight="1" thickBot="1">
      <c r="B12" s="26"/>
      <c r="C12" s="27" t="s">
        <v>108</v>
      </c>
      <c r="D12" s="27" t="s">
        <v>109</v>
      </c>
      <c r="E12" s="39" t="s">
        <v>110</v>
      </c>
      <c r="F12" s="67">
        <v>5</v>
      </c>
      <c r="G12" s="67">
        <v>4</v>
      </c>
      <c r="H12" s="67">
        <v>4</v>
      </c>
      <c r="I12" s="67">
        <v>5</v>
      </c>
      <c r="J12" s="67">
        <v>3</v>
      </c>
      <c r="K12" s="67">
        <v>3</v>
      </c>
      <c r="L12" s="80">
        <v>5</v>
      </c>
      <c r="M12" s="67">
        <v>4</v>
      </c>
      <c r="N12" s="67">
        <v>5</v>
      </c>
      <c r="O12" s="67">
        <v>5</v>
      </c>
      <c r="P12" s="67">
        <v>3</v>
      </c>
      <c r="Q12" s="67">
        <v>5</v>
      </c>
      <c r="R12" s="67">
        <v>3</v>
      </c>
      <c r="S12" s="69">
        <f>+AVERAGE(F12:R12)</f>
        <v>4.1538461538461542</v>
      </c>
      <c r="T12" s="76"/>
      <c r="U12" s="33"/>
      <c r="V12" s="21"/>
      <c r="W12" s="17"/>
      <c r="X12" s="65"/>
      <c r="Y12" s="20"/>
    </row>
    <row r="13" spans="2:25" ht="41.45" customHeight="1" thickBot="1">
      <c r="B13" s="26"/>
      <c r="C13" s="27" t="s">
        <v>111</v>
      </c>
      <c r="D13" s="27" t="s">
        <v>112</v>
      </c>
      <c r="E13" s="39" t="s">
        <v>127</v>
      </c>
      <c r="F13" s="67">
        <v>4</v>
      </c>
      <c r="G13" s="67">
        <v>0</v>
      </c>
      <c r="H13" s="67">
        <v>4</v>
      </c>
      <c r="I13" s="67">
        <v>4</v>
      </c>
      <c r="J13" s="67"/>
      <c r="K13" s="67">
        <v>3</v>
      </c>
      <c r="L13" s="80">
        <v>4</v>
      </c>
      <c r="M13" s="67">
        <v>4</v>
      </c>
      <c r="N13" s="67">
        <v>5</v>
      </c>
      <c r="O13" s="67">
        <v>4</v>
      </c>
      <c r="P13" s="67">
        <v>3</v>
      </c>
      <c r="Q13" s="67">
        <v>5</v>
      </c>
      <c r="R13" s="67">
        <v>3</v>
      </c>
      <c r="S13" s="69">
        <f>+AVERAGE(F13:R13)</f>
        <v>3.5833333333333335</v>
      </c>
      <c r="T13" s="76"/>
      <c r="U13" s="58"/>
      <c r="V13" s="21"/>
      <c r="W13" s="17"/>
      <c r="X13" s="65"/>
      <c r="Y13" s="20"/>
    </row>
    <row r="14" spans="2:25" ht="41.45" customHeight="1" thickBot="1">
      <c r="B14" s="26"/>
      <c r="C14" s="27" t="s">
        <v>114</v>
      </c>
      <c r="D14" s="27" t="s">
        <v>115</v>
      </c>
      <c r="E14" s="39" t="s">
        <v>116</v>
      </c>
      <c r="F14" s="67">
        <v>1</v>
      </c>
      <c r="G14" s="67">
        <v>1</v>
      </c>
      <c r="H14" s="67">
        <v>2</v>
      </c>
      <c r="I14" s="67">
        <v>2</v>
      </c>
      <c r="J14" s="67"/>
      <c r="K14" s="67">
        <v>3</v>
      </c>
      <c r="L14" s="80">
        <v>1</v>
      </c>
      <c r="M14" s="67">
        <v>2</v>
      </c>
      <c r="N14" s="67">
        <v>2</v>
      </c>
      <c r="O14" s="67">
        <v>4</v>
      </c>
      <c r="P14" s="67">
        <v>4</v>
      </c>
      <c r="Q14" s="67">
        <v>3</v>
      </c>
      <c r="R14" s="67">
        <v>3</v>
      </c>
      <c r="S14" s="69">
        <f>+AVERAGE(F14:R14)</f>
        <v>2.3333333333333335</v>
      </c>
      <c r="T14" s="77"/>
      <c r="U14" s="58"/>
      <c r="V14" s="21"/>
      <c r="W14" s="17"/>
      <c r="X14" s="65"/>
      <c r="Y14" s="20"/>
    </row>
    <row r="15" spans="2:25" ht="41.45" customHeight="1" thickBot="1">
      <c r="B15" s="41"/>
      <c r="C15" s="42" t="s">
        <v>117</v>
      </c>
      <c r="D15" s="43" t="s">
        <v>118</v>
      </c>
      <c r="E15" s="44" t="s">
        <v>119</v>
      </c>
      <c r="F15" s="67">
        <v>5</v>
      </c>
      <c r="G15" s="67">
        <v>5</v>
      </c>
      <c r="H15" s="67">
        <v>5</v>
      </c>
      <c r="I15" s="67">
        <v>5</v>
      </c>
      <c r="J15" s="67"/>
      <c r="K15" s="67">
        <v>5</v>
      </c>
      <c r="L15" s="80">
        <v>4</v>
      </c>
      <c r="M15" s="67"/>
      <c r="N15" s="67">
        <v>5</v>
      </c>
      <c r="O15" s="67">
        <v>5</v>
      </c>
      <c r="P15" s="67">
        <v>3</v>
      </c>
      <c r="Q15" s="67">
        <v>5</v>
      </c>
      <c r="R15" s="67">
        <v>3</v>
      </c>
      <c r="S15" s="70">
        <f>+AVERAGE(F15:R15)</f>
        <v>4.5454545454545459</v>
      </c>
      <c r="T15" s="78"/>
      <c r="U15" s="58"/>
      <c r="V15" s="21"/>
      <c r="W15" s="17"/>
      <c r="X15" s="65"/>
      <c r="Y15" s="20"/>
    </row>
    <row r="17" spans="2:4" ht="18.600000000000001">
      <c r="B17" s="53" t="s">
        <v>120</v>
      </c>
    </row>
    <row r="18" spans="2:4" ht="15.95">
      <c r="B18" s="30" t="s">
        <v>121</v>
      </c>
    </row>
    <row r="19" spans="2:4" ht="18.600000000000001">
      <c r="B19" s="29"/>
    </row>
    <row r="20" spans="2:4" ht="45.95" customHeight="1">
      <c r="B20" s="51" t="str">
        <f>B4</f>
        <v xml:space="preserve">Valeur Business </v>
      </c>
      <c r="C20" s="75">
        <f>T4</f>
        <v>2.2153846153846155</v>
      </c>
      <c r="D20" s="64" t="str">
        <f>IF(C20&lt;2.5,"Faible",IF(AND(C20&gt;=2.5,C20&lt;4),"Moyen","Fort"))</f>
        <v>Faible</v>
      </c>
    </row>
    <row r="21" spans="2:4" ht="45.95" customHeight="1">
      <c r="B21" s="51" t="str">
        <f>B10</f>
        <v>Maturité du Use Case</v>
      </c>
      <c r="C21" s="75">
        <f>T10</f>
        <v>3.5078088578088584</v>
      </c>
      <c r="D21" s="64" t="str">
        <f>IF(C21&lt;2.5,"Faible",IF(AND(C21&gt;=2.5,C21&lt;4),"Moyen","Fort"))</f>
        <v>Moyen</v>
      </c>
    </row>
    <row r="24" spans="2:4" ht="113.1" customHeight="1">
      <c r="B24" s="91" t="s">
        <v>122</v>
      </c>
      <c r="C24" s="91"/>
      <c r="D24" s="73"/>
    </row>
    <row r="26" spans="2:4" ht="18.600000000000001">
      <c r="B26" s="63" t="str">
        <f>IF(C20&lt;3,"Hors priorité",
   IF(AND(C20&gt;=4,C21&gt;=4),"Hackathon",
      IF(AND(C20&gt;=4,C21&lt;4),"Backlog projet",
         IF(AND(C20&gt;=3,C20&lt;4,C21&gt;=4),"Self AI (Copilot Studio)",
            "Backlog projet"
         )
      )
   )
)</f>
        <v>Hors priorité</v>
      </c>
    </row>
    <row r="28" spans="2:4">
      <c r="B28" s="18" t="s">
        <v>123</v>
      </c>
    </row>
    <row r="29" spans="2:4" ht="130.5">
      <c r="B29" s="62" t="s">
        <v>124</v>
      </c>
    </row>
  </sheetData>
  <mergeCells count="2">
    <mergeCell ref="C2:T2"/>
    <mergeCell ref="B24:C24"/>
  </mergeCells>
  <conditionalFormatting sqref="D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sqref="F11:R15 F5:R9" xr:uid="{260DE3B7-4004-4955-8C81-2800F3D37A22}">
      <formula1>0</formula1>
      <formula2>5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FCF0A-3CE8-4B4E-9F69-64D4BA8A85B9}">
  <dimension ref="B1:Y29"/>
  <sheetViews>
    <sheetView showGridLines="0" topLeftCell="A2" zoomScale="40" zoomScaleNormal="40" workbookViewId="0">
      <pane xSplit="5" ySplit="2" topLeftCell="F4" activePane="bottomRight" state="frozen"/>
      <selection pane="bottomRight" activeCell="E21" sqref="E21"/>
      <selection pane="bottomLeft" activeCell="A4" sqref="A4"/>
      <selection pane="topRight" activeCell="F2" sqref="F2"/>
    </sheetView>
  </sheetViews>
  <sheetFormatPr defaultColWidth="10.7109375" defaultRowHeight="14.45"/>
  <cols>
    <col min="1" max="1" width="4" style="18" customWidth="1"/>
    <col min="2" max="2" width="16.7109375" style="18" customWidth="1"/>
    <col min="3" max="3" width="20.28515625" style="18" bestFit="1" customWidth="1"/>
    <col min="4" max="4" width="61.140625" style="18" customWidth="1"/>
    <col min="5" max="5" width="60.85546875" style="18" customWidth="1"/>
    <col min="6" max="11" width="18.42578125" style="18" customWidth="1"/>
    <col min="12" max="12" width="18.42578125" style="56" customWidth="1"/>
    <col min="13" max="18" width="18.42578125" style="18" customWidth="1"/>
    <col min="19" max="19" width="10.42578125" style="18" customWidth="1"/>
    <col min="20" max="20" width="15.28515625" style="18" customWidth="1"/>
    <col min="21" max="21" width="10.7109375" style="18" bestFit="1"/>
    <col min="22" max="22" width="15" style="18" customWidth="1"/>
    <col min="23" max="16384" width="10.7109375" style="18"/>
  </cols>
  <sheetData>
    <row r="1" spans="2:25" ht="15" thickBot="1"/>
    <row r="2" spans="2:25" ht="32.1" customHeight="1">
      <c r="B2" s="23" t="s">
        <v>131</v>
      </c>
      <c r="C2" s="92" t="s">
        <v>132</v>
      </c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31"/>
    </row>
    <row r="3" spans="2:25" ht="63.6" customHeight="1" thickBot="1">
      <c r="B3" s="25" t="s">
        <v>1</v>
      </c>
      <c r="C3" s="25" t="s">
        <v>2</v>
      </c>
      <c r="D3" s="25" t="s">
        <v>73</v>
      </c>
      <c r="E3" s="25" t="s">
        <v>74</v>
      </c>
      <c r="F3" s="25" t="s">
        <v>75</v>
      </c>
      <c r="G3" s="25" t="s">
        <v>76</v>
      </c>
      <c r="H3" s="25" t="s">
        <v>77</v>
      </c>
      <c r="I3" s="25" t="s">
        <v>78</v>
      </c>
      <c r="J3" s="25" t="s">
        <v>79</v>
      </c>
      <c r="K3" s="25" t="s">
        <v>80</v>
      </c>
      <c r="L3" s="25" t="s">
        <v>81</v>
      </c>
      <c r="M3" s="25" t="s">
        <v>82</v>
      </c>
      <c r="N3" s="25" t="s">
        <v>83</v>
      </c>
      <c r="O3" s="25" t="s">
        <v>84</v>
      </c>
      <c r="P3" s="25" t="s">
        <v>133</v>
      </c>
      <c r="Q3" s="25" t="s">
        <v>86</v>
      </c>
      <c r="R3" s="25" t="s">
        <v>87</v>
      </c>
      <c r="S3" s="25" t="s">
        <v>88</v>
      </c>
      <c r="T3" s="25" t="s">
        <v>89</v>
      </c>
      <c r="U3" s="31"/>
    </row>
    <row r="4" spans="2:25" ht="36.950000000000003" customHeight="1" thickTop="1" thickBot="1">
      <c r="B4" s="46" t="s">
        <v>90</v>
      </c>
      <c r="C4" s="47"/>
      <c r="D4" s="47"/>
      <c r="E4" s="47"/>
      <c r="F4" s="47"/>
      <c r="G4" s="47"/>
      <c r="H4" s="47"/>
      <c r="I4" s="47"/>
      <c r="J4" s="47"/>
      <c r="K4" s="47"/>
      <c r="L4" s="48"/>
      <c r="M4" s="47"/>
      <c r="N4" s="47"/>
      <c r="O4" s="47"/>
      <c r="P4" s="47"/>
      <c r="Q4" s="47"/>
      <c r="R4" s="47"/>
      <c r="S4" s="48"/>
      <c r="T4" s="71">
        <f>AVERAGE(S5:S9)</f>
        <v>2.95</v>
      </c>
      <c r="U4" s="32"/>
      <c r="V4" s="19"/>
      <c r="W4" s="19"/>
      <c r="X4" s="19"/>
      <c r="Y4" s="19"/>
    </row>
    <row r="5" spans="2:25" ht="60" customHeight="1" thickBot="1">
      <c r="B5" s="26"/>
      <c r="C5" s="27" t="s">
        <v>91</v>
      </c>
      <c r="D5" s="27" t="s">
        <v>92</v>
      </c>
      <c r="E5" s="39" t="s">
        <v>93</v>
      </c>
      <c r="F5" s="67">
        <v>4</v>
      </c>
      <c r="G5" s="67">
        <v>4</v>
      </c>
      <c r="H5" s="67">
        <v>4</v>
      </c>
      <c r="I5" s="67">
        <v>4</v>
      </c>
      <c r="J5" s="67">
        <v>4</v>
      </c>
      <c r="K5" s="67">
        <v>5</v>
      </c>
      <c r="L5" s="80">
        <v>4</v>
      </c>
      <c r="M5" s="67">
        <v>4</v>
      </c>
      <c r="N5" s="67">
        <v>5</v>
      </c>
      <c r="O5" s="67">
        <v>5</v>
      </c>
      <c r="P5" s="67">
        <v>4</v>
      </c>
      <c r="Q5" s="67">
        <v>4</v>
      </c>
      <c r="R5" s="67">
        <v>4</v>
      </c>
      <c r="S5" s="69">
        <f>AVERAGE(F5:R5)</f>
        <v>4.2307692307692308</v>
      </c>
      <c r="T5" s="76"/>
      <c r="U5" s="33"/>
      <c r="W5" s="17"/>
      <c r="X5" s="65"/>
      <c r="Y5" s="20"/>
    </row>
    <row r="6" spans="2:25" ht="71.45" customHeight="1" thickBot="1">
      <c r="B6" s="26"/>
      <c r="C6" s="27" t="s">
        <v>41</v>
      </c>
      <c r="D6" s="27" t="s">
        <v>94</v>
      </c>
      <c r="E6" s="39" t="s">
        <v>95</v>
      </c>
      <c r="F6" s="67">
        <v>1</v>
      </c>
      <c r="G6" s="67">
        <v>1</v>
      </c>
      <c r="H6" s="67">
        <v>1</v>
      </c>
      <c r="I6" s="67">
        <v>1</v>
      </c>
      <c r="J6" s="67">
        <v>3</v>
      </c>
      <c r="K6" s="67"/>
      <c r="L6" s="80">
        <v>2</v>
      </c>
      <c r="M6" s="67">
        <v>2</v>
      </c>
      <c r="N6" s="67">
        <v>2</v>
      </c>
      <c r="O6" s="67">
        <v>2</v>
      </c>
      <c r="P6" s="67">
        <v>1</v>
      </c>
      <c r="Q6" s="67">
        <v>3</v>
      </c>
      <c r="R6" s="67">
        <v>2</v>
      </c>
      <c r="S6" s="69">
        <f>AVERAGE(F6:R6)</f>
        <v>1.75</v>
      </c>
      <c r="T6" s="76"/>
      <c r="U6" s="33"/>
      <c r="W6" s="17"/>
      <c r="X6" s="65"/>
      <c r="Y6" s="20"/>
    </row>
    <row r="7" spans="2:25" ht="37.5" customHeight="1" thickBot="1">
      <c r="B7" s="26"/>
      <c r="C7" s="27" t="s">
        <v>52</v>
      </c>
      <c r="D7" s="27" t="s">
        <v>96</v>
      </c>
      <c r="E7" s="39" t="s">
        <v>97</v>
      </c>
      <c r="F7" s="67">
        <v>4</v>
      </c>
      <c r="G7" s="67">
        <v>3</v>
      </c>
      <c r="H7" s="67">
        <v>4</v>
      </c>
      <c r="I7" s="67">
        <v>3</v>
      </c>
      <c r="J7" s="67">
        <v>2</v>
      </c>
      <c r="K7" s="67">
        <v>4</v>
      </c>
      <c r="L7" s="80">
        <v>3</v>
      </c>
      <c r="M7" s="67">
        <v>3</v>
      </c>
      <c r="N7" s="67">
        <v>3</v>
      </c>
      <c r="O7" s="67">
        <v>3</v>
      </c>
      <c r="P7" s="67">
        <v>3</v>
      </c>
      <c r="Q7" s="67">
        <v>3</v>
      </c>
      <c r="R7" s="67">
        <v>4</v>
      </c>
      <c r="S7" s="69">
        <f>AVERAGE(F7:R7)</f>
        <v>3.2307692307692308</v>
      </c>
      <c r="T7" s="76"/>
      <c r="U7" s="33"/>
      <c r="W7" s="17"/>
      <c r="X7" s="65"/>
      <c r="Y7" s="20"/>
    </row>
    <row r="8" spans="2:25" ht="69" customHeight="1" thickBot="1">
      <c r="B8" s="26"/>
      <c r="C8" s="27" t="s">
        <v>98</v>
      </c>
      <c r="D8" s="27" t="s">
        <v>99</v>
      </c>
      <c r="E8" s="39" t="s">
        <v>100</v>
      </c>
      <c r="F8" s="67">
        <v>2</v>
      </c>
      <c r="G8" s="67">
        <v>2</v>
      </c>
      <c r="H8" s="67">
        <v>2</v>
      </c>
      <c r="I8" s="67">
        <v>2</v>
      </c>
      <c r="J8" s="67">
        <v>2</v>
      </c>
      <c r="K8" s="67">
        <v>4</v>
      </c>
      <c r="L8" s="80">
        <v>3</v>
      </c>
      <c r="M8" s="67">
        <v>3</v>
      </c>
      <c r="N8" s="67">
        <v>3</v>
      </c>
      <c r="O8" s="67">
        <v>2</v>
      </c>
      <c r="P8" s="67">
        <v>3</v>
      </c>
      <c r="Q8" s="67">
        <v>3</v>
      </c>
      <c r="R8" s="67">
        <v>3</v>
      </c>
      <c r="S8" s="69">
        <f>AVERAGE(F8:R8)</f>
        <v>2.6153846153846154</v>
      </c>
      <c r="T8" s="76"/>
      <c r="U8" s="33"/>
      <c r="V8" s="21"/>
      <c r="W8" s="17"/>
      <c r="X8" s="65"/>
      <c r="Y8" s="20"/>
    </row>
    <row r="9" spans="2:25" ht="61.5" customHeight="1" thickBot="1">
      <c r="B9" s="26"/>
      <c r="C9" s="27" t="s">
        <v>101</v>
      </c>
      <c r="D9" s="27" t="s">
        <v>102</v>
      </c>
      <c r="E9" s="39" t="s">
        <v>103</v>
      </c>
      <c r="F9" s="67">
        <v>3</v>
      </c>
      <c r="G9" s="67">
        <v>2</v>
      </c>
      <c r="H9" s="67">
        <v>4</v>
      </c>
      <c r="I9" s="67">
        <v>4</v>
      </c>
      <c r="J9" s="67">
        <v>2</v>
      </c>
      <c r="K9" s="67">
        <v>4</v>
      </c>
      <c r="L9" s="80">
        <v>3</v>
      </c>
      <c r="M9" s="67">
        <v>4</v>
      </c>
      <c r="N9" s="67">
        <v>3</v>
      </c>
      <c r="O9" s="67">
        <v>4</v>
      </c>
      <c r="P9" s="67">
        <v>1</v>
      </c>
      <c r="Q9" s="67">
        <v>2</v>
      </c>
      <c r="R9" s="67">
        <v>2</v>
      </c>
      <c r="S9" s="69">
        <f>AVERAGE(F9:R9)</f>
        <v>2.9230769230769229</v>
      </c>
      <c r="T9" s="76"/>
      <c r="U9" s="34"/>
      <c r="V9" s="35"/>
      <c r="W9" s="36"/>
      <c r="X9" s="66"/>
      <c r="Y9" s="38"/>
    </row>
    <row r="10" spans="2:25" ht="39.950000000000003" customHeight="1" thickTop="1" thickBot="1">
      <c r="B10" s="50" t="s">
        <v>104</v>
      </c>
      <c r="C10" s="51"/>
      <c r="D10" s="51"/>
      <c r="E10" s="51"/>
      <c r="F10" s="51"/>
      <c r="G10" s="51"/>
      <c r="H10" s="51"/>
      <c r="I10" s="51"/>
      <c r="J10" s="51"/>
      <c r="K10" s="51"/>
      <c r="L10" s="40"/>
      <c r="M10" s="51"/>
      <c r="N10" s="51"/>
      <c r="O10" s="51"/>
      <c r="P10" s="51"/>
      <c r="Q10" s="51"/>
      <c r="R10" s="51"/>
      <c r="S10" s="69"/>
      <c r="T10" s="69">
        <f>AVERAGE(S11:S15)</f>
        <v>3.7724941724941723</v>
      </c>
      <c r="U10" s="32"/>
      <c r="V10" s="19"/>
      <c r="W10" s="19"/>
      <c r="X10" s="19"/>
      <c r="Y10" s="19"/>
    </row>
    <row r="11" spans="2:25" ht="41.45" customHeight="1" thickBot="1">
      <c r="B11" s="26"/>
      <c r="C11" s="27" t="s">
        <v>105</v>
      </c>
      <c r="D11" s="27" t="s">
        <v>106</v>
      </c>
      <c r="E11" s="39" t="s">
        <v>107</v>
      </c>
      <c r="F11" s="67">
        <v>4</v>
      </c>
      <c r="G11" s="67">
        <v>4</v>
      </c>
      <c r="H11" s="67">
        <v>4</v>
      </c>
      <c r="I11" s="67">
        <v>4</v>
      </c>
      <c r="J11" s="67">
        <v>4</v>
      </c>
      <c r="K11" s="67">
        <v>4</v>
      </c>
      <c r="L11" s="80">
        <v>3</v>
      </c>
      <c r="M11" s="67">
        <v>4</v>
      </c>
      <c r="N11" s="67">
        <v>3</v>
      </c>
      <c r="O11" s="67">
        <v>3</v>
      </c>
      <c r="P11" s="67">
        <v>3</v>
      </c>
      <c r="Q11" s="67">
        <v>4</v>
      </c>
      <c r="R11" s="67">
        <v>3</v>
      </c>
      <c r="S11" s="69">
        <f>+AVERAGE(F11:R11)</f>
        <v>3.6153846153846154</v>
      </c>
      <c r="T11" s="76"/>
      <c r="U11" s="33"/>
      <c r="V11" s="21"/>
      <c r="W11" s="17"/>
      <c r="X11" s="65"/>
      <c r="Y11" s="20"/>
    </row>
    <row r="12" spans="2:25" ht="48.95" customHeight="1" thickBot="1">
      <c r="B12" s="26"/>
      <c r="C12" s="27" t="s">
        <v>108</v>
      </c>
      <c r="D12" s="27" t="s">
        <v>109</v>
      </c>
      <c r="E12" s="39" t="s">
        <v>110</v>
      </c>
      <c r="F12" s="67">
        <v>3</v>
      </c>
      <c r="G12" s="67">
        <v>4</v>
      </c>
      <c r="H12" s="67">
        <v>5</v>
      </c>
      <c r="I12" s="67">
        <v>3</v>
      </c>
      <c r="J12" s="67">
        <v>4</v>
      </c>
      <c r="K12" s="67">
        <v>2</v>
      </c>
      <c r="L12" s="80">
        <v>1</v>
      </c>
      <c r="M12" s="67">
        <v>4</v>
      </c>
      <c r="N12" s="67">
        <v>3</v>
      </c>
      <c r="O12" s="67">
        <v>4</v>
      </c>
      <c r="P12" s="67">
        <v>4</v>
      </c>
      <c r="Q12" s="67">
        <v>3</v>
      </c>
      <c r="R12" s="67">
        <v>3</v>
      </c>
      <c r="S12" s="69">
        <f>+AVERAGE(F12:R12)</f>
        <v>3.3076923076923075</v>
      </c>
      <c r="T12" s="76"/>
      <c r="U12" s="33"/>
      <c r="V12" s="21"/>
      <c r="W12" s="17"/>
      <c r="X12" s="65"/>
      <c r="Y12" s="20"/>
    </row>
    <row r="13" spans="2:25" ht="41.45" customHeight="1" thickBot="1">
      <c r="B13" s="26"/>
      <c r="C13" s="27" t="s">
        <v>111</v>
      </c>
      <c r="D13" s="27" t="s">
        <v>112</v>
      </c>
      <c r="E13" s="39" t="s">
        <v>127</v>
      </c>
      <c r="F13" s="67">
        <v>3</v>
      </c>
      <c r="G13" s="67">
        <v>3</v>
      </c>
      <c r="H13" s="67">
        <v>5</v>
      </c>
      <c r="I13" s="67">
        <v>4</v>
      </c>
      <c r="J13" s="67"/>
      <c r="K13" s="67">
        <v>4</v>
      </c>
      <c r="L13" s="80">
        <v>5</v>
      </c>
      <c r="M13" s="67">
        <v>4</v>
      </c>
      <c r="N13" s="67">
        <v>3</v>
      </c>
      <c r="O13" s="67">
        <v>4</v>
      </c>
      <c r="P13" s="67">
        <v>3</v>
      </c>
      <c r="Q13" s="67">
        <v>4</v>
      </c>
      <c r="R13" s="67">
        <v>3</v>
      </c>
      <c r="S13" s="69">
        <f>+AVERAGE(F13:R13)</f>
        <v>3.75</v>
      </c>
      <c r="T13" s="76"/>
      <c r="U13" s="58"/>
      <c r="V13" s="21"/>
      <c r="W13" s="17"/>
      <c r="X13" s="65"/>
      <c r="Y13" s="20"/>
    </row>
    <row r="14" spans="2:25" ht="41.45" customHeight="1" thickBot="1">
      <c r="B14" s="26"/>
      <c r="C14" s="27" t="s">
        <v>114</v>
      </c>
      <c r="D14" s="27" t="s">
        <v>115</v>
      </c>
      <c r="E14" s="39" t="s">
        <v>116</v>
      </c>
      <c r="F14" s="67">
        <v>3</v>
      </c>
      <c r="G14" s="67">
        <v>4</v>
      </c>
      <c r="H14" s="67">
        <v>5</v>
      </c>
      <c r="I14" s="67">
        <v>3</v>
      </c>
      <c r="J14" s="67"/>
      <c r="K14" s="67">
        <v>3</v>
      </c>
      <c r="L14" s="80">
        <v>4</v>
      </c>
      <c r="M14" s="67">
        <v>4</v>
      </c>
      <c r="N14" s="67">
        <v>3</v>
      </c>
      <c r="O14" s="67">
        <v>5</v>
      </c>
      <c r="P14" s="67">
        <v>4</v>
      </c>
      <c r="Q14" s="67">
        <v>5</v>
      </c>
      <c r="R14" s="67">
        <v>4</v>
      </c>
      <c r="S14" s="69">
        <f>+AVERAGE(F14:R14)</f>
        <v>3.9166666666666665</v>
      </c>
      <c r="T14" s="77"/>
      <c r="U14" s="58"/>
      <c r="V14" s="21"/>
      <c r="W14" s="17"/>
      <c r="X14" s="65"/>
      <c r="Y14" s="20"/>
    </row>
    <row r="15" spans="2:25" ht="41.45" customHeight="1" thickBot="1">
      <c r="B15" s="41"/>
      <c r="C15" s="42" t="s">
        <v>117</v>
      </c>
      <c r="D15" s="43" t="s">
        <v>118</v>
      </c>
      <c r="E15" s="44" t="s">
        <v>119</v>
      </c>
      <c r="F15" s="67">
        <v>5</v>
      </c>
      <c r="G15" s="67">
        <v>4</v>
      </c>
      <c r="H15" s="67">
        <v>5</v>
      </c>
      <c r="I15" s="67">
        <v>5</v>
      </c>
      <c r="J15" s="67"/>
      <c r="K15" s="67">
        <v>5</v>
      </c>
      <c r="L15" s="80">
        <v>3</v>
      </c>
      <c r="M15" s="67"/>
      <c r="N15" s="67">
        <v>4</v>
      </c>
      <c r="O15" s="67">
        <v>5</v>
      </c>
      <c r="P15" s="67">
        <v>4</v>
      </c>
      <c r="Q15" s="67">
        <v>3</v>
      </c>
      <c r="R15" s="67">
        <v>4</v>
      </c>
      <c r="S15" s="70">
        <f>+AVERAGE(F15:R15)</f>
        <v>4.2727272727272725</v>
      </c>
      <c r="T15" s="78"/>
      <c r="U15" s="58"/>
      <c r="V15" s="21"/>
      <c r="W15" s="17"/>
      <c r="X15" s="65"/>
      <c r="Y15" s="20"/>
    </row>
    <row r="17" spans="2:4" ht="18.600000000000001">
      <c r="B17" s="53" t="s">
        <v>120</v>
      </c>
    </row>
    <row r="18" spans="2:4" ht="15.95">
      <c r="B18" s="30" t="s">
        <v>121</v>
      </c>
    </row>
    <row r="19" spans="2:4" ht="18.600000000000001">
      <c r="B19" s="29"/>
    </row>
    <row r="20" spans="2:4" ht="45.95" customHeight="1">
      <c r="B20" s="51" t="str">
        <f>B4</f>
        <v xml:space="preserve">Valeur Business </v>
      </c>
      <c r="C20" s="75">
        <f>T4</f>
        <v>2.95</v>
      </c>
      <c r="D20" s="64" t="str">
        <f>IF(C20&lt;2.5,"Faible",IF(AND(C20&gt;=2.5,C20&lt;4),"Moyen","Fort"))</f>
        <v>Moyen</v>
      </c>
    </row>
    <row r="21" spans="2:4" ht="45.95" customHeight="1">
      <c r="B21" s="51" t="str">
        <f>B10</f>
        <v>Maturité du Use Case</v>
      </c>
      <c r="C21" s="75">
        <f>T10</f>
        <v>3.7724941724941723</v>
      </c>
      <c r="D21" s="64" t="str">
        <f>IF(C21&lt;2.5,"Faible",IF(AND(C21&gt;=2.5,C21&lt;4),"Moyen","Fort"))</f>
        <v>Moyen</v>
      </c>
    </row>
    <row r="24" spans="2:4" ht="92.45" customHeight="1">
      <c r="B24" s="91" t="s">
        <v>122</v>
      </c>
      <c r="C24" s="91"/>
      <c r="D24" s="73"/>
    </row>
    <row r="26" spans="2:4" ht="18.600000000000001">
      <c r="B26" s="63" t="str">
        <f>IF(C20&lt;3,"Hors priorité",
   IF(AND(C20&gt;=4,C21&gt;=4),"Hackathon",
      IF(AND(C20&gt;=4,C21&lt;4),"Backlog projet",
         IF(AND(C20&gt;=3,C20&lt;4,C21&gt;=4),"Self AI (Copilot Studio)",
            "Backlog projet"
         )
      )
   )
)</f>
        <v>Hors priorité</v>
      </c>
    </row>
    <row r="28" spans="2:4">
      <c r="B28" s="18" t="s">
        <v>123</v>
      </c>
    </row>
    <row r="29" spans="2:4" ht="130.5">
      <c r="B29" s="62" t="s">
        <v>124</v>
      </c>
    </row>
  </sheetData>
  <mergeCells count="2">
    <mergeCell ref="C2:T2"/>
    <mergeCell ref="B24:C24"/>
  </mergeCells>
  <conditionalFormatting sqref="D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sqref="F11:R15 F5:R9" xr:uid="{6B569E4A-F234-4C4D-9476-F184954A7C52}">
      <formula1>0</formula1>
      <formula2>5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3C3B-74BD-44D9-A81B-FB616F5CEB6A}">
  <dimension ref="B1:Y29"/>
  <sheetViews>
    <sheetView showGridLines="0" zoomScale="40" zoomScaleNormal="40" workbookViewId="0">
      <pane xSplit="5" ySplit="3" topLeftCell="F4" activePane="bottomRight" state="frozen"/>
      <selection pane="bottomRight" activeCell="F5" sqref="F5:F15"/>
      <selection pane="bottomLeft" activeCell="A4" sqref="A4"/>
      <selection pane="topRight" activeCell="F1" sqref="F1"/>
    </sheetView>
  </sheetViews>
  <sheetFormatPr defaultColWidth="10.7109375" defaultRowHeight="14.45"/>
  <cols>
    <col min="1" max="1" width="4" style="18" customWidth="1"/>
    <col min="2" max="2" width="16.42578125" style="18" customWidth="1"/>
    <col min="3" max="3" width="14.140625" style="18" customWidth="1"/>
    <col min="4" max="4" width="54.140625" style="18" customWidth="1"/>
    <col min="5" max="5" width="34" style="18" customWidth="1"/>
    <col min="6" max="11" width="18.42578125" style="18" customWidth="1"/>
    <col min="12" max="12" width="18.42578125" style="56" customWidth="1"/>
    <col min="13" max="14" width="18.42578125" style="18" customWidth="1"/>
    <col min="15" max="15" width="15.7109375" style="18" customWidth="1"/>
    <col min="16" max="18" width="18.42578125" style="18" customWidth="1"/>
    <col min="19" max="19" width="10.42578125" style="18" customWidth="1"/>
    <col min="20" max="20" width="15.28515625" style="18" customWidth="1"/>
    <col min="21" max="21" width="10.7109375" style="18" bestFit="1"/>
    <col min="22" max="22" width="15" style="18" customWidth="1"/>
    <col min="23" max="16384" width="10.7109375" style="18"/>
  </cols>
  <sheetData>
    <row r="1" spans="2:25" ht="15" thickBot="1"/>
    <row r="2" spans="2:25" ht="32.1" customHeight="1">
      <c r="B2" s="23" t="s">
        <v>134</v>
      </c>
      <c r="C2" s="92" t="s">
        <v>135</v>
      </c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31"/>
    </row>
    <row r="3" spans="2:25" ht="63.6" customHeight="1" thickBot="1">
      <c r="B3" s="25" t="s">
        <v>1</v>
      </c>
      <c r="C3" s="25" t="s">
        <v>2</v>
      </c>
      <c r="D3" s="25" t="s">
        <v>73</v>
      </c>
      <c r="E3" s="25" t="s">
        <v>74</v>
      </c>
      <c r="F3" s="25" t="s">
        <v>75</v>
      </c>
      <c r="G3" s="25" t="s">
        <v>76</v>
      </c>
      <c r="H3" s="25" t="s">
        <v>77</v>
      </c>
      <c r="I3" s="25" t="s">
        <v>78</v>
      </c>
      <c r="J3" s="25" t="s">
        <v>79</v>
      </c>
      <c r="K3" s="25" t="s">
        <v>80</v>
      </c>
      <c r="L3" s="25" t="s">
        <v>81</v>
      </c>
      <c r="M3" s="25" t="s">
        <v>82</v>
      </c>
      <c r="N3" s="25" t="s">
        <v>83</v>
      </c>
      <c r="O3" s="25" t="s">
        <v>84</v>
      </c>
      <c r="P3" s="25" t="s">
        <v>133</v>
      </c>
      <c r="Q3" s="25" t="s">
        <v>86</v>
      </c>
      <c r="R3" s="25" t="s">
        <v>87</v>
      </c>
      <c r="S3" s="25" t="s">
        <v>88</v>
      </c>
      <c r="T3" s="25" t="s">
        <v>89</v>
      </c>
      <c r="U3" s="31"/>
    </row>
    <row r="4" spans="2:25" ht="36.950000000000003" customHeight="1" thickTop="1" thickBot="1">
      <c r="B4" s="46" t="s">
        <v>90</v>
      </c>
      <c r="C4" s="47"/>
      <c r="D4" s="47"/>
      <c r="E4" s="47"/>
      <c r="F4" s="47"/>
      <c r="G4" s="47"/>
      <c r="H4" s="47"/>
      <c r="I4" s="47"/>
      <c r="J4" s="47"/>
      <c r="K4" s="47"/>
      <c r="L4" s="48"/>
      <c r="M4" s="47"/>
      <c r="N4" s="47"/>
      <c r="O4" s="47"/>
      <c r="P4" s="47"/>
      <c r="Q4" s="47"/>
      <c r="R4" s="47"/>
      <c r="S4" s="48"/>
      <c r="T4" s="71">
        <f>AVERAGE(S5:S9)</f>
        <v>4.092307692307692</v>
      </c>
      <c r="U4" s="32"/>
      <c r="V4" s="19"/>
      <c r="W4" s="19"/>
      <c r="X4" s="19"/>
      <c r="Y4" s="19"/>
    </row>
    <row r="5" spans="2:25" ht="48.95" customHeight="1" thickBot="1">
      <c r="B5" s="26"/>
      <c r="C5" s="27" t="s">
        <v>91</v>
      </c>
      <c r="D5" s="27" t="s">
        <v>92</v>
      </c>
      <c r="E5" s="39" t="s">
        <v>93</v>
      </c>
      <c r="F5" s="67">
        <v>5</v>
      </c>
      <c r="G5" s="67">
        <v>4</v>
      </c>
      <c r="H5" s="67">
        <v>5</v>
      </c>
      <c r="I5" s="67">
        <v>5</v>
      </c>
      <c r="J5" s="67">
        <v>4</v>
      </c>
      <c r="K5" s="67">
        <v>5</v>
      </c>
      <c r="L5" s="80">
        <v>5</v>
      </c>
      <c r="M5" s="67">
        <v>4</v>
      </c>
      <c r="N5" s="67">
        <v>4</v>
      </c>
      <c r="O5" s="67">
        <v>5</v>
      </c>
      <c r="P5" s="67">
        <v>3</v>
      </c>
      <c r="Q5" s="67">
        <v>4</v>
      </c>
      <c r="R5" s="67">
        <v>4</v>
      </c>
      <c r="S5" s="69">
        <f>AVERAGE(F5:R5)</f>
        <v>4.384615384615385</v>
      </c>
      <c r="T5" s="76"/>
      <c r="U5" s="33"/>
      <c r="W5" s="17"/>
      <c r="X5" s="65"/>
      <c r="Y5" s="20"/>
    </row>
    <row r="6" spans="2:25" ht="48.95" customHeight="1" thickBot="1">
      <c r="B6" s="26"/>
      <c r="C6" s="27" t="s">
        <v>41</v>
      </c>
      <c r="D6" s="27" t="s">
        <v>94</v>
      </c>
      <c r="E6" s="39" t="s">
        <v>95</v>
      </c>
      <c r="F6" s="67">
        <v>3</v>
      </c>
      <c r="G6" s="67">
        <v>2</v>
      </c>
      <c r="H6" s="67">
        <v>3</v>
      </c>
      <c r="I6" s="67">
        <v>4</v>
      </c>
      <c r="J6" s="67">
        <v>3</v>
      </c>
      <c r="K6" s="67">
        <v>4</v>
      </c>
      <c r="L6" s="80">
        <v>4</v>
      </c>
      <c r="M6" s="67">
        <v>3</v>
      </c>
      <c r="N6" s="67">
        <v>4</v>
      </c>
      <c r="O6" s="67">
        <v>3</v>
      </c>
      <c r="P6" s="67">
        <v>2</v>
      </c>
      <c r="Q6" s="67">
        <v>1</v>
      </c>
      <c r="R6" s="67">
        <v>3</v>
      </c>
      <c r="S6" s="69">
        <f>AVERAGE(F6:R6)</f>
        <v>3</v>
      </c>
      <c r="T6" s="76"/>
      <c r="U6" s="33"/>
      <c r="W6" s="17"/>
      <c r="X6" s="65"/>
      <c r="Y6" s="20"/>
    </row>
    <row r="7" spans="2:25" ht="48.95" customHeight="1" thickBot="1">
      <c r="B7" s="26"/>
      <c r="C7" s="27" t="s">
        <v>52</v>
      </c>
      <c r="D7" s="27" t="s">
        <v>96</v>
      </c>
      <c r="E7" s="39" t="s">
        <v>97</v>
      </c>
      <c r="F7" s="67">
        <v>4</v>
      </c>
      <c r="G7" s="67">
        <v>5</v>
      </c>
      <c r="H7" s="67">
        <v>5</v>
      </c>
      <c r="I7" s="67">
        <v>5</v>
      </c>
      <c r="J7" s="67">
        <v>4</v>
      </c>
      <c r="K7" s="67">
        <v>5</v>
      </c>
      <c r="L7" s="80">
        <v>5</v>
      </c>
      <c r="M7" s="67">
        <v>5</v>
      </c>
      <c r="N7" s="67">
        <v>4</v>
      </c>
      <c r="O7" s="67">
        <v>5</v>
      </c>
      <c r="P7" s="67">
        <v>4</v>
      </c>
      <c r="Q7" s="67">
        <v>5</v>
      </c>
      <c r="R7" s="67">
        <v>4</v>
      </c>
      <c r="S7" s="69">
        <f>AVERAGE(F7:R7)</f>
        <v>4.615384615384615</v>
      </c>
      <c r="T7" s="76"/>
      <c r="U7" s="33"/>
      <c r="W7" s="17"/>
      <c r="X7" s="65"/>
      <c r="Y7" s="20"/>
    </row>
    <row r="8" spans="2:25" ht="48.95" customHeight="1" thickBot="1">
      <c r="B8" s="26"/>
      <c r="C8" s="27" t="s">
        <v>98</v>
      </c>
      <c r="D8" s="27" t="s">
        <v>99</v>
      </c>
      <c r="E8" s="39" t="s">
        <v>100</v>
      </c>
      <c r="F8" s="67">
        <v>4</v>
      </c>
      <c r="G8" s="67">
        <v>4</v>
      </c>
      <c r="H8" s="67">
        <v>5</v>
      </c>
      <c r="I8" s="67">
        <v>5</v>
      </c>
      <c r="J8" s="67">
        <v>4</v>
      </c>
      <c r="K8" s="67">
        <v>4</v>
      </c>
      <c r="L8" s="80">
        <v>4</v>
      </c>
      <c r="M8" s="67">
        <v>5</v>
      </c>
      <c r="N8" s="67">
        <v>4</v>
      </c>
      <c r="O8" s="67">
        <v>5</v>
      </c>
      <c r="P8" s="67">
        <v>4</v>
      </c>
      <c r="Q8" s="67">
        <v>2</v>
      </c>
      <c r="R8" s="67">
        <v>3</v>
      </c>
      <c r="S8" s="69">
        <f>AVERAGE(F8:R8)</f>
        <v>4.0769230769230766</v>
      </c>
      <c r="T8" s="76"/>
      <c r="U8" s="33"/>
      <c r="V8" s="21"/>
      <c r="W8" s="17"/>
      <c r="X8" s="65"/>
      <c r="Y8" s="20"/>
    </row>
    <row r="9" spans="2:25" ht="48.95" customHeight="1" thickBot="1">
      <c r="B9" s="26"/>
      <c r="C9" s="27" t="s">
        <v>101</v>
      </c>
      <c r="D9" s="27" t="s">
        <v>102</v>
      </c>
      <c r="E9" s="39" t="s">
        <v>103</v>
      </c>
      <c r="F9" s="67">
        <v>5</v>
      </c>
      <c r="G9" s="67">
        <v>4</v>
      </c>
      <c r="H9" s="67">
        <v>5</v>
      </c>
      <c r="I9" s="67">
        <v>5</v>
      </c>
      <c r="J9" s="67">
        <v>4</v>
      </c>
      <c r="K9" s="67">
        <v>5</v>
      </c>
      <c r="L9" s="80">
        <v>5</v>
      </c>
      <c r="M9" s="67">
        <v>4</v>
      </c>
      <c r="N9" s="67">
        <v>4</v>
      </c>
      <c r="O9" s="67">
        <v>5</v>
      </c>
      <c r="P9" s="67">
        <v>3</v>
      </c>
      <c r="Q9" s="67">
        <v>4</v>
      </c>
      <c r="R9" s="67">
        <v>4</v>
      </c>
      <c r="S9" s="69">
        <f>AVERAGE(F9:R9)</f>
        <v>4.384615384615385</v>
      </c>
      <c r="T9" s="76"/>
      <c r="U9" s="34"/>
      <c r="V9" s="35"/>
      <c r="W9" s="36"/>
      <c r="X9" s="66"/>
      <c r="Y9" s="38"/>
    </row>
    <row r="10" spans="2:25" ht="48.95" customHeight="1" thickTop="1" thickBot="1">
      <c r="B10" s="50" t="s">
        <v>104</v>
      </c>
      <c r="C10" s="51"/>
      <c r="D10" s="51"/>
      <c r="E10" s="51"/>
      <c r="F10" s="51"/>
      <c r="G10" s="51"/>
      <c r="H10" s="51"/>
      <c r="I10" s="51"/>
      <c r="J10" s="51"/>
      <c r="K10" s="51"/>
      <c r="L10" s="40"/>
      <c r="M10" s="51"/>
      <c r="N10" s="51"/>
      <c r="O10" s="51"/>
      <c r="P10" s="51"/>
      <c r="Q10" s="51"/>
      <c r="R10" s="51"/>
      <c r="S10" s="69"/>
      <c r="T10" s="69">
        <f>AVERAGE(S11:S15)</f>
        <v>3.1834498834498834</v>
      </c>
      <c r="U10" s="32"/>
      <c r="V10" s="19"/>
      <c r="W10" s="19"/>
      <c r="X10" s="19"/>
      <c r="Y10" s="19"/>
    </row>
    <row r="11" spans="2:25" ht="48.95" customHeight="1" thickBot="1">
      <c r="B11" s="26"/>
      <c r="C11" s="27" t="s">
        <v>105</v>
      </c>
      <c r="D11" s="27" t="s">
        <v>106</v>
      </c>
      <c r="E11" s="39" t="s">
        <v>107</v>
      </c>
      <c r="F11" s="67">
        <v>4</v>
      </c>
      <c r="G11" s="67">
        <v>3</v>
      </c>
      <c r="H11" s="67">
        <v>5</v>
      </c>
      <c r="I11" s="67">
        <v>5</v>
      </c>
      <c r="J11" s="67">
        <v>4</v>
      </c>
      <c r="K11" s="67">
        <v>4</v>
      </c>
      <c r="L11" s="80">
        <v>5</v>
      </c>
      <c r="M11" s="67">
        <v>4</v>
      </c>
      <c r="N11" s="67">
        <v>5</v>
      </c>
      <c r="O11" s="67">
        <v>5</v>
      </c>
      <c r="P11" s="67">
        <v>3</v>
      </c>
      <c r="Q11" s="67">
        <v>5</v>
      </c>
      <c r="R11" s="67">
        <v>3</v>
      </c>
      <c r="S11" s="69">
        <f>+AVERAGE(F11:R11)</f>
        <v>4.2307692307692308</v>
      </c>
      <c r="T11" s="76"/>
      <c r="U11" s="33"/>
      <c r="V11" s="21"/>
      <c r="W11" s="17"/>
      <c r="X11" s="65"/>
      <c r="Y11" s="20"/>
    </row>
    <row r="12" spans="2:25" ht="48.95" customHeight="1" thickBot="1">
      <c r="B12" s="26"/>
      <c r="C12" s="27" t="s">
        <v>108</v>
      </c>
      <c r="D12" s="27" t="s">
        <v>109</v>
      </c>
      <c r="E12" s="39" t="s">
        <v>110</v>
      </c>
      <c r="F12" s="67">
        <v>4</v>
      </c>
      <c r="G12" s="67">
        <v>4</v>
      </c>
      <c r="H12" s="67">
        <v>5</v>
      </c>
      <c r="I12" s="67">
        <v>5</v>
      </c>
      <c r="J12" s="67">
        <v>4</v>
      </c>
      <c r="K12" s="67">
        <v>3</v>
      </c>
      <c r="L12" s="80">
        <v>4</v>
      </c>
      <c r="M12" s="67">
        <v>5</v>
      </c>
      <c r="N12" s="67">
        <v>4</v>
      </c>
      <c r="O12" s="67">
        <v>5</v>
      </c>
      <c r="P12" s="67">
        <v>4</v>
      </c>
      <c r="Q12" s="67">
        <v>5</v>
      </c>
      <c r="R12" s="67">
        <v>4</v>
      </c>
      <c r="S12" s="69">
        <f>+AVERAGE(F12:R12)</f>
        <v>4.3076923076923075</v>
      </c>
      <c r="T12" s="76"/>
      <c r="U12" s="33"/>
      <c r="V12" s="21"/>
      <c r="W12" s="17"/>
      <c r="X12" s="65"/>
      <c r="Y12" s="20"/>
    </row>
    <row r="13" spans="2:25" ht="48.95" customHeight="1" thickBot="1">
      <c r="B13" s="26"/>
      <c r="C13" s="27" t="s">
        <v>111</v>
      </c>
      <c r="D13" s="27" t="s">
        <v>112</v>
      </c>
      <c r="E13" s="39" t="s">
        <v>127</v>
      </c>
      <c r="F13" s="67">
        <v>3</v>
      </c>
      <c r="G13" s="67">
        <v>3</v>
      </c>
      <c r="H13" s="67">
        <v>3</v>
      </c>
      <c r="I13" s="67">
        <v>4</v>
      </c>
      <c r="J13" s="67"/>
      <c r="K13" s="67">
        <v>5</v>
      </c>
      <c r="L13" s="80">
        <v>5</v>
      </c>
      <c r="M13" s="67">
        <v>4</v>
      </c>
      <c r="N13" s="67">
        <v>3</v>
      </c>
      <c r="O13" s="67">
        <v>4</v>
      </c>
      <c r="P13" s="67">
        <v>3</v>
      </c>
      <c r="Q13" s="67">
        <v>5</v>
      </c>
      <c r="R13" s="67">
        <v>4</v>
      </c>
      <c r="S13" s="69">
        <f>+AVERAGE(F13:R13)</f>
        <v>3.8333333333333335</v>
      </c>
      <c r="T13" s="76"/>
      <c r="U13" s="58"/>
      <c r="V13" s="21"/>
      <c r="W13" s="17"/>
      <c r="X13" s="65"/>
      <c r="Y13" s="20"/>
    </row>
    <row r="14" spans="2:25" ht="48.95" customHeight="1" thickBot="1">
      <c r="B14" s="26"/>
      <c r="C14" s="27" t="s">
        <v>114</v>
      </c>
      <c r="D14" s="27" t="s">
        <v>115</v>
      </c>
      <c r="E14" s="39" t="s">
        <v>116</v>
      </c>
      <c r="F14" s="67">
        <v>3</v>
      </c>
      <c r="G14" s="67">
        <v>3</v>
      </c>
      <c r="H14" s="67">
        <v>2</v>
      </c>
      <c r="I14" s="67">
        <v>1</v>
      </c>
      <c r="J14" s="67"/>
      <c r="K14" s="67">
        <v>4</v>
      </c>
      <c r="L14" s="80">
        <v>5</v>
      </c>
      <c r="M14" s="67">
        <v>4</v>
      </c>
      <c r="N14" s="67">
        <v>3</v>
      </c>
      <c r="O14" s="67">
        <v>3</v>
      </c>
      <c r="P14" s="67">
        <v>2</v>
      </c>
      <c r="Q14" s="67">
        <v>3</v>
      </c>
      <c r="R14" s="67">
        <v>3</v>
      </c>
      <c r="S14" s="69">
        <f>+AVERAGE(F14:R14)</f>
        <v>3</v>
      </c>
      <c r="T14" s="77"/>
      <c r="U14" s="58"/>
      <c r="V14" s="21"/>
      <c r="W14" s="17"/>
      <c r="X14" s="65"/>
      <c r="Y14" s="20"/>
    </row>
    <row r="15" spans="2:25" ht="48.95" customHeight="1" thickBot="1">
      <c r="B15" s="41"/>
      <c r="C15" s="42" t="s">
        <v>117</v>
      </c>
      <c r="D15" s="43" t="s">
        <v>118</v>
      </c>
      <c r="E15" s="44" t="s">
        <v>119</v>
      </c>
      <c r="F15" s="67">
        <v>0</v>
      </c>
      <c r="G15" s="67">
        <v>0</v>
      </c>
      <c r="H15" s="67">
        <v>0</v>
      </c>
      <c r="I15" s="67">
        <v>0</v>
      </c>
      <c r="J15" s="67"/>
      <c r="K15" s="67">
        <v>3</v>
      </c>
      <c r="L15" s="80">
        <v>3</v>
      </c>
      <c r="M15" s="67"/>
      <c r="N15" s="67">
        <v>0</v>
      </c>
      <c r="O15" s="67">
        <v>0</v>
      </c>
      <c r="P15" s="67">
        <v>0</v>
      </c>
      <c r="Q15" s="67">
        <v>0</v>
      </c>
      <c r="R15" s="67">
        <v>0</v>
      </c>
      <c r="S15" s="70">
        <f>+AVERAGE(F15:R15)</f>
        <v>0.54545454545454541</v>
      </c>
      <c r="T15" s="78"/>
      <c r="U15" s="58"/>
      <c r="V15" s="21"/>
      <c r="W15" s="17"/>
      <c r="X15" s="65"/>
      <c r="Y15" s="20"/>
    </row>
    <row r="16" spans="2:25">
      <c r="S16" s="79"/>
    </row>
    <row r="17" spans="2:4" ht="18.600000000000001">
      <c r="B17" s="53" t="s">
        <v>120</v>
      </c>
    </row>
    <row r="18" spans="2:4" ht="15.95">
      <c r="B18" s="30" t="s">
        <v>121</v>
      </c>
    </row>
    <row r="19" spans="2:4" ht="18.600000000000001">
      <c r="B19" s="29"/>
    </row>
    <row r="20" spans="2:4" ht="45.95" customHeight="1">
      <c r="B20" s="51" t="str">
        <f>B4</f>
        <v xml:space="preserve">Valeur Business </v>
      </c>
      <c r="C20" s="75">
        <f>T4</f>
        <v>4.092307692307692</v>
      </c>
      <c r="D20" s="64" t="str">
        <f>IF(C20&lt;2.5,"Faible",IF(AND(C20&gt;=2.5,C20&lt;4),"Moyen","Fort"))</f>
        <v>Fort</v>
      </c>
    </row>
    <row r="21" spans="2:4" ht="45.95" customHeight="1">
      <c r="B21" s="51" t="str">
        <f>B10</f>
        <v>Maturité du Use Case</v>
      </c>
      <c r="C21" s="75">
        <f>T10</f>
        <v>3.1834498834498834</v>
      </c>
      <c r="D21" s="64" t="str">
        <f>IF(C21&lt;2.5,"Faible",IF(AND(C21&gt;=2.5,C21&lt;4),"Moyen","Fort"))</f>
        <v>Moyen</v>
      </c>
    </row>
    <row r="24" spans="2:4" ht="80.099999999999994" customHeight="1">
      <c r="B24" s="91" t="s">
        <v>136</v>
      </c>
      <c r="C24" s="91"/>
      <c r="D24" s="73"/>
    </row>
    <row r="26" spans="2:4" ht="18.600000000000001">
      <c r="B26" s="63" t="str">
        <f>IF(C20&lt;3,"Hors priorité",
   IF(AND(C20&gt;=4,C21&gt;=4),"Hackathon",
      IF(AND(C20&gt;=4,C21&lt;4),"Backlog projet",
         IF(AND(C20&gt;=3,C20&lt;4,C21&gt;=4),"Self AI (Copilot Studio)",
            "Backlog projet"
         )
      )
   )
)</f>
        <v>Backlog projet</v>
      </c>
    </row>
    <row r="28" spans="2:4">
      <c r="B28" s="18" t="s">
        <v>123</v>
      </c>
    </row>
    <row r="29" spans="2:4" ht="130.5">
      <c r="B29" s="62" t="s">
        <v>124</v>
      </c>
    </row>
  </sheetData>
  <mergeCells count="2">
    <mergeCell ref="C2:T2"/>
    <mergeCell ref="B24:C24"/>
  </mergeCells>
  <conditionalFormatting sqref="D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sqref="F11:R15 F5:R9" xr:uid="{CA8E63B1-AF06-43F3-B4CC-999B9F8A4956}">
      <formula1>0</formula1>
      <formula2>5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6FA73-3BD3-4573-8814-D8AA4FF3497A}">
  <sheetPr codeName="Feuil20"/>
  <dimension ref="B1:Y29"/>
  <sheetViews>
    <sheetView showGridLines="0" topLeftCell="A3" zoomScale="40" zoomScaleNormal="40" workbookViewId="0">
      <pane xSplit="4" ySplit="1" topLeftCell="E4" activePane="bottomRight" state="frozen"/>
      <selection pane="bottomRight" activeCell="F22" sqref="F22"/>
      <selection pane="bottomLeft" activeCell="A4" sqref="A4"/>
      <selection pane="topRight" activeCell="E3" sqref="E3"/>
    </sheetView>
  </sheetViews>
  <sheetFormatPr defaultColWidth="10.7109375" defaultRowHeight="14.45"/>
  <cols>
    <col min="1" max="1" width="4" style="18" customWidth="1"/>
    <col min="2" max="2" width="9.42578125" style="18" customWidth="1"/>
    <col min="3" max="3" width="18" style="18" customWidth="1"/>
    <col min="4" max="4" width="68.140625" style="18" customWidth="1"/>
    <col min="5" max="5" width="32" style="18" customWidth="1"/>
    <col min="6" max="11" width="18.42578125" style="18" customWidth="1"/>
    <col min="12" max="12" width="18.42578125" style="56" customWidth="1"/>
    <col min="13" max="18" width="18.42578125" style="18" customWidth="1"/>
    <col min="19" max="19" width="10.42578125" style="18" customWidth="1"/>
    <col min="20" max="20" width="15.28515625" style="18" customWidth="1"/>
    <col min="21" max="21" width="10.7109375" style="18" bestFit="1"/>
    <col min="22" max="22" width="15" style="18" customWidth="1"/>
    <col min="23" max="16384" width="10.7109375" style="18"/>
  </cols>
  <sheetData>
    <row r="1" spans="2:25" ht="15" thickBot="1"/>
    <row r="2" spans="2:25" ht="32.1" customHeight="1">
      <c r="B2" s="23" t="s">
        <v>137</v>
      </c>
      <c r="C2" s="92" t="s">
        <v>138</v>
      </c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31"/>
    </row>
    <row r="3" spans="2:25" ht="63.6" customHeight="1" thickBot="1">
      <c r="B3" s="25" t="s">
        <v>1</v>
      </c>
      <c r="C3" s="25" t="s">
        <v>2</v>
      </c>
      <c r="D3" s="25" t="s">
        <v>73</v>
      </c>
      <c r="E3" s="25" t="s">
        <v>74</v>
      </c>
      <c r="F3" s="25" t="s">
        <v>75</v>
      </c>
      <c r="G3" s="25" t="s">
        <v>76</v>
      </c>
      <c r="H3" s="25" t="s">
        <v>77</v>
      </c>
      <c r="I3" s="25" t="s">
        <v>78</v>
      </c>
      <c r="J3" s="25" t="s">
        <v>79</v>
      </c>
      <c r="K3" s="25" t="s">
        <v>80</v>
      </c>
      <c r="L3" s="25" t="s">
        <v>81</v>
      </c>
      <c r="M3" s="25" t="s">
        <v>82</v>
      </c>
      <c r="N3" s="25" t="s">
        <v>83</v>
      </c>
      <c r="O3" s="25" t="s">
        <v>84</v>
      </c>
      <c r="P3" s="25" t="s">
        <v>85</v>
      </c>
      <c r="Q3" s="25" t="s">
        <v>86</v>
      </c>
      <c r="R3" s="25" t="s">
        <v>87</v>
      </c>
      <c r="S3" s="25" t="s">
        <v>88</v>
      </c>
      <c r="T3" s="25" t="s">
        <v>89</v>
      </c>
      <c r="U3" s="31"/>
    </row>
    <row r="4" spans="2:25" ht="36.950000000000003" customHeight="1" thickTop="1" thickBot="1">
      <c r="B4" s="46" t="s">
        <v>90</v>
      </c>
      <c r="C4" s="47"/>
      <c r="D4" s="47"/>
      <c r="E4" s="47"/>
      <c r="F4" s="47"/>
      <c r="G4" s="47"/>
      <c r="H4" s="47"/>
      <c r="I4" s="47"/>
      <c r="J4" s="47"/>
      <c r="K4" s="47"/>
      <c r="L4" s="48"/>
      <c r="M4" s="47"/>
      <c r="N4" s="47"/>
      <c r="O4" s="47"/>
      <c r="P4" s="47"/>
      <c r="Q4" s="47"/>
      <c r="R4" s="47"/>
      <c r="S4" s="48"/>
      <c r="T4" s="71">
        <f>AVERAGE(S5:S9)</f>
        <v>3.6769230769230772</v>
      </c>
      <c r="U4" s="32"/>
      <c r="V4" s="19"/>
      <c r="W4" s="19"/>
      <c r="X4" s="19"/>
      <c r="Y4" s="19"/>
    </row>
    <row r="5" spans="2:25" ht="37.5" customHeight="1" thickBot="1">
      <c r="B5" s="26"/>
      <c r="C5" s="27" t="s">
        <v>91</v>
      </c>
      <c r="D5" s="27" t="s">
        <v>92</v>
      </c>
      <c r="E5" s="39" t="s">
        <v>93</v>
      </c>
      <c r="F5" s="67">
        <v>5</v>
      </c>
      <c r="G5" s="67">
        <v>5</v>
      </c>
      <c r="H5" s="67">
        <v>5</v>
      </c>
      <c r="I5" s="67">
        <v>4</v>
      </c>
      <c r="J5" s="67">
        <v>4</v>
      </c>
      <c r="K5" s="67">
        <v>5</v>
      </c>
      <c r="L5" s="80">
        <v>5</v>
      </c>
      <c r="M5" s="67">
        <v>4</v>
      </c>
      <c r="N5" s="67">
        <v>4</v>
      </c>
      <c r="O5" s="67">
        <v>4</v>
      </c>
      <c r="P5" s="67">
        <v>4</v>
      </c>
      <c r="Q5" s="56">
        <v>4</v>
      </c>
      <c r="R5" s="67">
        <v>4</v>
      </c>
      <c r="S5" s="69">
        <f>AVERAGE(F5:R5)</f>
        <v>4.384615384615385</v>
      </c>
      <c r="T5" s="76"/>
      <c r="U5" s="33"/>
      <c r="W5" s="17"/>
      <c r="X5" s="65"/>
      <c r="Y5" s="20"/>
    </row>
    <row r="6" spans="2:25" ht="69.95" customHeight="1" thickBot="1">
      <c r="B6" s="26"/>
      <c r="C6" s="27" t="s">
        <v>41</v>
      </c>
      <c r="D6" s="27" t="s">
        <v>94</v>
      </c>
      <c r="E6" s="39" t="s">
        <v>95</v>
      </c>
      <c r="F6" s="67">
        <v>3</v>
      </c>
      <c r="G6" s="67">
        <v>4</v>
      </c>
      <c r="H6" s="67">
        <v>4</v>
      </c>
      <c r="I6" s="67">
        <v>4</v>
      </c>
      <c r="J6" s="67">
        <v>2</v>
      </c>
      <c r="K6" s="67">
        <v>4</v>
      </c>
      <c r="L6" s="80">
        <v>3</v>
      </c>
      <c r="M6" s="67">
        <v>3</v>
      </c>
      <c r="N6" s="67">
        <v>4</v>
      </c>
      <c r="O6" s="67">
        <v>4</v>
      </c>
      <c r="P6" s="67">
        <v>3</v>
      </c>
      <c r="Q6" s="80">
        <v>2</v>
      </c>
      <c r="R6" s="67">
        <v>2</v>
      </c>
      <c r="S6" s="69">
        <f>AVERAGE(F6:R6)</f>
        <v>3.2307692307692308</v>
      </c>
      <c r="T6" s="76"/>
      <c r="U6" s="33"/>
      <c r="W6" s="17"/>
      <c r="X6" s="65"/>
      <c r="Y6" s="20"/>
    </row>
    <row r="7" spans="2:25" ht="37.5" customHeight="1" thickBot="1">
      <c r="B7" s="26"/>
      <c r="C7" s="27" t="s">
        <v>52</v>
      </c>
      <c r="D7" s="27" t="s">
        <v>96</v>
      </c>
      <c r="E7" s="39" t="s">
        <v>97</v>
      </c>
      <c r="F7" s="67">
        <v>4</v>
      </c>
      <c r="G7" s="67">
        <v>4</v>
      </c>
      <c r="H7" s="67">
        <v>3</v>
      </c>
      <c r="I7" s="67">
        <v>3</v>
      </c>
      <c r="J7" s="67">
        <v>3</v>
      </c>
      <c r="K7" s="67">
        <v>4</v>
      </c>
      <c r="L7" s="80">
        <v>2</v>
      </c>
      <c r="M7" s="67">
        <v>2</v>
      </c>
      <c r="N7" s="67">
        <v>4</v>
      </c>
      <c r="O7" s="67">
        <v>4</v>
      </c>
      <c r="P7" s="67">
        <v>3</v>
      </c>
      <c r="Q7" s="80">
        <v>4</v>
      </c>
      <c r="R7" s="67">
        <v>3</v>
      </c>
      <c r="S7" s="69">
        <f>AVERAGE(F7:R7)</f>
        <v>3.3076923076923075</v>
      </c>
      <c r="T7" s="76"/>
      <c r="U7" s="33"/>
      <c r="W7" s="17"/>
      <c r="X7" s="65"/>
      <c r="Y7" s="20"/>
    </row>
    <row r="8" spans="2:25" ht="41.45" customHeight="1" thickBot="1">
      <c r="B8" s="26"/>
      <c r="C8" s="27" t="s">
        <v>98</v>
      </c>
      <c r="D8" s="27" t="s">
        <v>99</v>
      </c>
      <c r="E8" s="39" t="s">
        <v>100</v>
      </c>
      <c r="F8" s="67">
        <v>4</v>
      </c>
      <c r="G8" s="67">
        <v>4</v>
      </c>
      <c r="H8" s="67">
        <v>4</v>
      </c>
      <c r="I8" s="67">
        <v>5</v>
      </c>
      <c r="J8" s="67">
        <v>4</v>
      </c>
      <c r="K8" s="67">
        <v>5</v>
      </c>
      <c r="L8" s="80">
        <v>4</v>
      </c>
      <c r="M8" s="67">
        <v>3</v>
      </c>
      <c r="N8" s="67">
        <v>3</v>
      </c>
      <c r="O8" s="67">
        <v>4</v>
      </c>
      <c r="P8" s="67">
        <v>3</v>
      </c>
      <c r="Q8" s="80">
        <v>3</v>
      </c>
      <c r="R8" s="67">
        <v>3</v>
      </c>
      <c r="S8" s="69">
        <f>AVERAGE(F8:R8)</f>
        <v>3.7692307692307692</v>
      </c>
      <c r="T8" s="76"/>
      <c r="U8" s="33"/>
      <c r="V8" s="21"/>
      <c r="W8" s="17"/>
      <c r="X8" s="65"/>
      <c r="Y8" s="20"/>
    </row>
    <row r="9" spans="2:25" ht="37.5" customHeight="1" thickBot="1">
      <c r="B9" s="26"/>
      <c r="C9" s="27" t="s">
        <v>101</v>
      </c>
      <c r="D9" s="27" t="s">
        <v>102</v>
      </c>
      <c r="E9" s="39" t="s">
        <v>103</v>
      </c>
      <c r="F9" s="67">
        <v>5</v>
      </c>
      <c r="G9" s="67">
        <v>4</v>
      </c>
      <c r="H9" s="67">
        <v>4</v>
      </c>
      <c r="I9" s="67">
        <v>4</v>
      </c>
      <c r="J9" s="67">
        <v>3</v>
      </c>
      <c r="K9" s="67">
        <v>5</v>
      </c>
      <c r="L9" s="80">
        <v>3</v>
      </c>
      <c r="M9" s="67">
        <v>3</v>
      </c>
      <c r="N9" s="67">
        <v>4</v>
      </c>
      <c r="O9" s="67">
        <v>4</v>
      </c>
      <c r="P9" s="67">
        <v>3</v>
      </c>
      <c r="Q9" s="80">
        <v>3</v>
      </c>
      <c r="R9" s="67">
        <v>3</v>
      </c>
      <c r="S9" s="69">
        <f>AVERAGE(F9:R9)</f>
        <v>3.6923076923076925</v>
      </c>
      <c r="T9" s="76"/>
      <c r="U9" s="34"/>
      <c r="V9" s="35"/>
      <c r="W9" s="36"/>
      <c r="X9" s="66"/>
      <c r="Y9" s="38"/>
    </row>
    <row r="10" spans="2:25" ht="39.950000000000003" customHeight="1" thickTop="1" thickBot="1">
      <c r="B10" s="50" t="s">
        <v>104</v>
      </c>
      <c r="C10" s="51"/>
      <c r="D10" s="51"/>
      <c r="E10" s="51"/>
      <c r="F10" s="51"/>
      <c r="G10" s="51"/>
      <c r="H10" s="51"/>
      <c r="I10" s="51"/>
      <c r="J10" s="51"/>
      <c r="K10" s="51"/>
      <c r="L10" s="40"/>
      <c r="M10" s="51"/>
      <c r="N10" s="51"/>
      <c r="O10" s="51"/>
      <c r="P10" s="51"/>
      <c r="Q10" s="40"/>
      <c r="R10" s="51"/>
      <c r="S10" s="69"/>
      <c r="T10" s="69">
        <f>AVERAGE(S11:S15)</f>
        <v>3.1335664335664339</v>
      </c>
      <c r="U10" s="32"/>
      <c r="V10" s="19"/>
      <c r="W10" s="19"/>
      <c r="X10" s="19"/>
      <c r="Y10" s="19"/>
    </row>
    <row r="11" spans="2:25" ht="41.45" customHeight="1" thickBot="1">
      <c r="B11" s="26"/>
      <c r="C11" s="27" t="s">
        <v>105</v>
      </c>
      <c r="D11" s="27" t="s">
        <v>106</v>
      </c>
      <c r="E11" s="39" t="s">
        <v>107</v>
      </c>
      <c r="F11" s="67">
        <v>4</v>
      </c>
      <c r="G11" s="67">
        <v>3</v>
      </c>
      <c r="H11" s="67">
        <v>3</v>
      </c>
      <c r="I11" s="67">
        <v>3</v>
      </c>
      <c r="J11" s="67">
        <v>3</v>
      </c>
      <c r="K11" s="67">
        <v>4</v>
      </c>
      <c r="L11" s="80">
        <v>2</v>
      </c>
      <c r="M11" s="67">
        <v>3</v>
      </c>
      <c r="N11" s="67">
        <v>4</v>
      </c>
      <c r="O11" s="67">
        <v>4</v>
      </c>
      <c r="P11" s="67">
        <v>2</v>
      </c>
      <c r="Q11" s="80">
        <v>5</v>
      </c>
      <c r="R11" s="67">
        <v>4</v>
      </c>
      <c r="S11" s="69">
        <f>+AVERAGE(F11:R11)</f>
        <v>3.3846153846153846</v>
      </c>
      <c r="T11" s="76"/>
      <c r="U11" s="33"/>
      <c r="V11" s="21"/>
      <c r="W11" s="17"/>
      <c r="X11" s="65"/>
      <c r="Y11" s="20"/>
    </row>
    <row r="12" spans="2:25" ht="48.95" customHeight="1" thickBot="1">
      <c r="B12" s="26"/>
      <c r="C12" s="27" t="s">
        <v>108</v>
      </c>
      <c r="D12" s="27" t="s">
        <v>109</v>
      </c>
      <c r="E12" s="39" t="s">
        <v>110</v>
      </c>
      <c r="F12" s="67">
        <v>4</v>
      </c>
      <c r="G12" s="67">
        <v>3</v>
      </c>
      <c r="H12" s="67">
        <v>4</v>
      </c>
      <c r="I12" s="67">
        <v>4</v>
      </c>
      <c r="J12" s="67">
        <v>3</v>
      </c>
      <c r="K12" s="67">
        <v>5</v>
      </c>
      <c r="L12" s="80">
        <v>3</v>
      </c>
      <c r="M12" s="67">
        <v>4</v>
      </c>
      <c r="N12" s="67">
        <v>3</v>
      </c>
      <c r="O12" s="67">
        <v>3</v>
      </c>
      <c r="P12" s="67">
        <v>4</v>
      </c>
      <c r="Q12" s="80">
        <v>4</v>
      </c>
      <c r="R12" s="67">
        <v>4</v>
      </c>
      <c r="S12" s="69">
        <f>+AVERAGE(F12:R12)</f>
        <v>3.6923076923076925</v>
      </c>
      <c r="T12" s="76"/>
      <c r="U12" s="33"/>
      <c r="V12" s="21"/>
      <c r="W12" s="17"/>
      <c r="X12" s="65"/>
      <c r="Y12" s="20"/>
    </row>
    <row r="13" spans="2:25" ht="41.45" customHeight="1" thickBot="1">
      <c r="B13" s="26"/>
      <c r="C13" s="27" t="s">
        <v>111</v>
      </c>
      <c r="D13" s="27" t="s">
        <v>112</v>
      </c>
      <c r="E13" s="39" t="s">
        <v>127</v>
      </c>
      <c r="F13" s="67">
        <v>4</v>
      </c>
      <c r="G13" s="67">
        <v>4</v>
      </c>
      <c r="H13" s="67">
        <v>4</v>
      </c>
      <c r="I13" s="67">
        <v>5</v>
      </c>
      <c r="J13" s="67"/>
      <c r="K13" s="67">
        <v>5</v>
      </c>
      <c r="L13" s="80">
        <v>5</v>
      </c>
      <c r="M13" s="67">
        <v>4</v>
      </c>
      <c r="N13" s="67">
        <v>4</v>
      </c>
      <c r="O13" s="67">
        <v>3</v>
      </c>
      <c r="P13" s="67">
        <v>4</v>
      </c>
      <c r="Q13" s="80">
        <v>4</v>
      </c>
      <c r="R13" s="67">
        <v>4</v>
      </c>
      <c r="S13" s="69">
        <f>+AVERAGE(F13:R13)</f>
        <v>4.166666666666667</v>
      </c>
      <c r="T13" s="76"/>
      <c r="U13" s="58"/>
      <c r="V13" s="21"/>
      <c r="W13" s="17"/>
      <c r="X13" s="65"/>
      <c r="Y13" s="20"/>
    </row>
    <row r="14" spans="2:25" ht="41.45" customHeight="1" thickBot="1">
      <c r="B14" s="26"/>
      <c r="C14" s="27" t="s">
        <v>114</v>
      </c>
      <c r="D14" s="27" t="s">
        <v>115</v>
      </c>
      <c r="E14" s="39" t="s">
        <v>116</v>
      </c>
      <c r="F14" s="67">
        <v>1</v>
      </c>
      <c r="G14" s="67">
        <v>3</v>
      </c>
      <c r="H14" s="67">
        <v>2</v>
      </c>
      <c r="I14" s="67">
        <v>2</v>
      </c>
      <c r="J14" s="67"/>
      <c r="K14" s="67">
        <v>4</v>
      </c>
      <c r="L14" s="80">
        <v>5</v>
      </c>
      <c r="M14" s="67">
        <v>3</v>
      </c>
      <c r="N14" s="67">
        <v>4</v>
      </c>
      <c r="O14" s="67">
        <v>5</v>
      </c>
      <c r="P14" s="67">
        <v>4</v>
      </c>
      <c r="Q14" s="80">
        <v>4</v>
      </c>
      <c r="R14" s="67">
        <v>3</v>
      </c>
      <c r="S14" s="69">
        <f>+AVERAGE(F14:R14)</f>
        <v>3.3333333333333335</v>
      </c>
      <c r="T14" s="77"/>
      <c r="U14" s="58"/>
      <c r="V14" s="21"/>
      <c r="W14" s="17"/>
      <c r="X14" s="65"/>
      <c r="Y14" s="20"/>
    </row>
    <row r="15" spans="2:25" ht="41.45" customHeight="1" thickBot="1">
      <c r="B15" s="41"/>
      <c r="C15" s="42" t="s">
        <v>117</v>
      </c>
      <c r="D15" s="43" t="s">
        <v>118</v>
      </c>
      <c r="E15" s="44" t="s">
        <v>119</v>
      </c>
      <c r="F15" s="67">
        <v>0</v>
      </c>
      <c r="G15" s="67">
        <v>1</v>
      </c>
      <c r="H15" s="67">
        <v>0</v>
      </c>
      <c r="I15" s="67">
        <v>2</v>
      </c>
      <c r="J15" s="67"/>
      <c r="K15" s="67">
        <v>4</v>
      </c>
      <c r="L15" s="80">
        <v>0</v>
      </c>
      <c r="M15" s="67"/>
      <c r="N15" s="67">
        <v>1</v>
      </c>
      <c r="O15" s="67">
        <v>1</v>
      </c>
      <c r="P15" s="67">
        <v>1</v>
      </c>
      <c r="Q15" s="80">
        <v>1</v>
      </c>
      <c r="R15" s="67">
        <v>1</v>
      </c>
      <c r="S15" s="70">
        <f>+AVERAGE(F15:R15)</f>
        <v>1.0909090909090908</v>
      </c>
      <c r="T15" s="78"/>
      <c r="U15" s="58"/>
      <c r="V15" s="21"/>
      <c r="W15" s="17"/>
      <c r="X15" s="65"/>
      <c r="Y15" s="20"/>
    </row>
    <row r="16" spans="2:25">
      <c r="T16" s="79"/>
    </row>
    <row r="17" spans="2:4" ht="18.600000000000001">
      <c r="B17" s="53" t="s">
        <v>120</v>
      </c>
    </row>
    <row r="18" spans="2:4" ht="15.95">
      <c r="B18" s="30" t="s">
        <v>121</v>
      </c>
    </row>
    <row r="19" spans="2:4" ht="18.600000000000001">
      <c r="B19" s="29"/>
    </row>
    <row r="20" spans="2:4" ht="45.95" customHeight="1">
      <c r="B20" s="51" t="str">
        <f>B4</f>
        <v xml:space="preserve">Valeur Business </v>
      </c>
      <c r="C20" s="75">
        <f>T4</f>
        <v>3.6769230769230772</v>
      </c>
      <c r="D20" s="64" t="str">
        <f>IF(C20&lt;2.5,"Faible",IF(AND(C20&gt;=2.5,C20&lt;4),"Moyen","Fort"))</f>
        <v>Moyen</v>
      </c>
    </row>
    <row r="21" spans="2:4" ht="45.95" customHeight="1">
      <c r="B21" s="51" t="str">
        <f>B10</f>
        <v>Maturité du Use Case</v>
      </c>
      <c r="C21" s="75">
        <f>T10</f>
        <v>3.1335664335664339</v>
      </c>
      <c r="D21" s="64" t="str">
        <f>IF(C21&lt;2.5,"Faible",IF(AND(C21&gt;=2.5,C21&lt;4),"Moyen","Fort"))</f>
        <v>Moyen</v>
      </c>
    </row>
    <row r="24" spans="2:4" ht="89.1" customHeight="1">
      <c r="B24" s="91" t="s">
        <v>136</v>
      </c>
      <c r="C24" s="91"/>
      <c r="D24" s="73"/>
    </row>
    <row r="26" spans="2:4" ht="18.600000000000001">
      <c r="B26" s="63" t="str">
        <f>IF(C20&lt;3,"Hors priorité",
   IF(AND(C20&gt;=4,C21&gt;=4),"Hackathon",
      IF(AND(C20&gt;=4,C21&lt;4),"Backlog projet",
         IF(AND(C20&gt;=3,C20&lt;4,C21&gt;=4),"Self AI (Copilot Studio)",
            "Backlog projet"
         )
      )
   )
)</f>
        <v>Backlog projet</v>
      </c>
    </row>
    <row r="28" spans="2:4">
      <c r="B28" s="18" t="s">
        <v>123</v>
      </c>
    </row>
    <row r="29" spans="2:4" ht="144.94999999999999">
      <c r="B29" s="62" t="s">
        <v>124</v>
      </c>
    </row>
  </sheetData>
  <mergeCells count="2">
    <mergeCell ref="C2:T2"/>
    <mergeCell ref="B24:C24"/>
  </mergeCells>
  <conditionalFormatting sqref="D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sqref="F11:R15 R5 F5:P5 F6:R9" xr:uid="{C0267D6C-D280-4C0E-B1CE-BDB63DE4B292}">
      <formula1>0</formula1>
      <formula2>5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76A31-1E91-4F5D-9C83-83842EE59154}">
  <dimension ref="B1:Y29"/>
  <sheetViews>
    <sheetView showGridLines="0" topLeftCell="A3" zoomScale="40" zoomScaleNormal="40" workbookViewId="0">
      <pane xSplit="5" ySplit="1" topLeftCell="F4" activePane="bottomRight" state="frozen"/>
      <selection pane="bottomRight" activeCell="M22" sqref="M22"/>
      <selection pane="bottomLeft" activeCell="A4" sqref="A4"/>
      <selection pane="topRight" activeCell="F3" sqref="F3"/>
    </sheetView>
  </sheetViews>
  <sheetFormatPr defaultColWidth="10.7109375" defaultRowHeight="14.45"/>
  <cols>
    <col min="1" max="1" width="4" style="18" customWidth="1"/>
    <col min="2" max="2" width="14.42578125" style="18" customWidth="1"/>
    <col min="3" max="3" width="11.7109375" style="18" customWidth="1"/>
    <col min="4" max="4" width="62.7109375" style="18" customWidth="1"/>
    <col min="5" max="5" width="27.5703125" style="18" customWidth="1"/>
    <col min="6" max="11" width="18.42578125" style="18" customWidth="1"/>
    <col min="12" max="12" width="21" style="56" customWidth="1"/>
    <col min="13" max="18" width="18.42578125" style="18" customWidth="1"/>
    <col min="19" max="19" width="10.42578125" style="18" customWidth="1"/>
    <col min="20" max="20" width="15.28515625" style="18" customWidth="1"/>
    <col min="21" max="21" width="10.7109375" style="18" bestFit="1"/>
    <col min="22" max="22" width="15" style="18" customWidth="1"/>
    <col min="23" max="16384" width="10.7109375" style="18"/>
  </cols>
  <sheetData>
    <row r="1" spans="2:25" ht="15" thickBot="1"/>
    <row r="2" spans="2:25" ht="32.1" customHeight="1">
      <c r="B2" s="23" t="s">
        <v>139</v>
      </c>
      <c r="C2" s="92" t="s">
        <v>140</v>
      </c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31"/>
    </row>
    <row r="3" spans="2:25" ht="63.6" customHeight="1" thickBot="1">
      <c r="B3" s="25" t="s">
        <v>1</v>
      </c>
      <c r="C3" s="25" t="s">
        <v>2</v>
      </c>
      <c r="D3" s="25" t="s">
        <v>73</v>
      </c>
      <c r="E3" s="25" t="s">
        <v>74</v>
      </c>
      <c r="F3" s="25" t="s">
        <v>75</v>
      </c>
      <c r="G3" s="25" t="s">
        <v>76</v>
      </c>
      <c r="H3" s="25" t="s">
        <v>77</v>
      </c>
      <c r="I3" s="25" t="s">
        <v>78</v>
      </c>
      <c r="J3" s="25" t="s">
        <v>79</v>
      </c>
      <c r="K3" s="25" t="s">
        <v>80</v>
      </c>
      <c r="L3" s="25" t="s">
        <v>81</v>
      </c>
      <c r="M3" s="25" t="s">
        <v>82</v>
      </c>
      <c r="N3" s="25" t="s">
        <v>83</v>
      </c>
      <c r="O3" s="25" t="s">
        <v>84</v>
      </c>
      <c r="P3" s="25" t="s">
        <v>85</v>
      </c>
      <c r="Q3" s="25" t="s">
        <v>86</v>
      </c>
      <c r="R3" s="25" t="s">
        <v>87</v>
      </c>
      <c r="S3" s="25" t="s">
        <v>88</v>
      </c>
      <c r="T3" s="25" t="s">
        <v>89</v>
      </c>
      <c r="U3" s="31"/>
    </row>
    <row r="4" spans="2:25" ht="36.950000000000003" customHeight="1" thickTop="1" thickBot="1">
      <c r="B4" s="46" t="s">
        <v>90</v>
      </c>
      <c r="C4" s="47"/>
      <c r="D4" s="47"/>
      <c r="E4" s="47"/>
      <c r="F4" s="47"/>
      <c r="G4" s="47"/>
      <c r="H4" s="47"/>
      <c r="I4" s="47"/>
      <c r="J4" s="47"/>
      <c r="K4" s="47"/>
      <c r="L4" s="48"/>
      <c r="M4" s="47"/>
      <c r="N4" s="47"/>
      <c r="O4" s="47"/>
      <c r="P4" s="47"/>
      <c r="Q4" s="47"/>
      <c r="R4" s="47"/>
      <c r="S4" s="48"/>
      <c r="T4" s="71">
        <f>AVERAGE(S5:S9)</f>
        <v>4.3538461538461535</v>
      </c>
      <c r="U4" s="32"/>
      <c r="V4" s="19"/>
      <c r="W4" s="19"/>
      <c r="X4" s="19"/>
      <c r="Y4" s="19"/>
    </row>
    <row r="5" spans="2:25" ht="37.5" customHeight="1" thickBot="1">
      <c r="B5" s="26"/>
      <c r="C5" s="27" t="s">
        <v>91</v>
      </c>
      <c r="D5" s="27" t="s">
        <v>92</v>
      </c>
      <c r="E5" s="39" t="s">
        <v>93</v>
      </c>
      <c r="F5" s="67">
        <v>4</v>
      </c>
      <c r="G5" s="67">
        <v>5</v>
      </c>
      <c r="H5" s="67">
        <v>5</v>
      </c>
      <c r="I5" s="67">
        <v>5</v>
      </c>
      <c r="J5" s="67">
        <v>5</v>
      </c>
      <c r="K5" s="67">
        <v>5</v>
      </c>
      <c r="L5" s="80">
        <v>4</v>
      </c>
      <c r="M5" s="67">
        <v>5</v>
      </c>
      <c r="N5" s="67">
        <v>5</v>
      </c>
      <c r="O5" s="67">
        <v>4</v>
      </c>
      <c r="P5" s="67">
        <v>5</v>
      </c>
      <c r="Q5" s="67">
        <v>5</v>
      </c>
      <c r="R5" s="67">
        <v>5</v>
      </c>
      <c r="S5" s="69">
        <f>AVERAGE(F5:R5)</f>
        <v>4.7692307692307692</v>
      </c>
      <c r="T5" s="76"/>
      <c r="U5" s="33"/>
      <c r="W5" s="17"/>
      <c r="X5" s="65"/>
      <c r="Y5" s="20"/>
    </row>
    <row r="6" spans="2:25" ht="37.5" customHeight="1" thickBot="1">
      <c r="B6" s="26"/>
      <c r="C6" s="27" t="s">
        <v>41</v>
      </c>
      <c r="D6" s="27" t="s">
        <v>94</v>
      </c>
      <c r="E6" s="39" t="s">
        <v>95</v>
      </c>
      <c r="F6" s="67">
        <v>3</v>
      </c>
      <c r="G6" s="67">
        <v>5</v>
      </c>
      <c r="H6" s="67">
        <v>5</v>
      </c>
      <c r="I6" s="67">
        <v>5</v>
      </c>
      <c r="J6" s="67">
        <v>5</v>
      </c>
      <c r="K6" s="67">
        <v>4</v>
      </c>
      <c r="L6" s="80">
        <v>5</v>
      </c>
      <c r="M6" s="67">
        <v>4</v>
      </c>
      <c r="N6" s="67">
        <v>4</v>
      </c>
      <c r="O6" s="67">
        <v>4</v>
      </c>
      <c r="P6" s="67">
        <v>3</v>
      </c>
      <c r="Q6" s="67">
        <v>1</v>
      </c>
      <c r="R6" s="67">
        <v>3</v>
      </c>
      <c r="S6" s="69">
        <f>AVERAGE(F6:R6)</f>
        <v>3.9230769230769229</v>
      </c>
      <c r="T6" s="76"/>
      <c r="U6" s="33"/>
      <c r="W6" s="17"/>
      <c r="X6" s="65"/>
      <c r="Y6" s="20"/>
    </row>
    <row r="7" spans="2:25" ht="37.5" customHeight="1" thickBot="1">
      <c r="B7" s="26"/>
      <c r="C7" s="27" t="s">
        <v>52</v>
      </c>
      <c r="D7" s="27" t="s">
        <v>96</v>
      </c>
      <c r="E7" s="39" t="s">
        <v>97</v>
      </c>
      <c r="F7" s="67">
        <v>3</v>
      </c>
      <c r="G7" s="67">
        <v>5</v>
      </c>
      <c r="H7" s="67">
        <v>5</v>
      </c>
      <c r="I7" s="67">
        <v>5</v>
      </c>
      <c r="J7" s="67">
        <v>4</v>
      </c>
      <c r="K7" s="67">
        <v>3</v>
      </c>
      <c r="L7" s="80">
        <v>3</v>
      </c>
      <c r="M7" s="67">
        <v>5</v>
      </c>
      <c r="N7" s="67">
        <v>5</v>
      </c>
      <c r="O7" s="67">
        <f>9 - J7</f>
        <v>5</v>
      </c>
      <c r="P7" s="67">
        <v>5</v>
      </c>
      <c r="Q7" s="67">
        <v>4</v>
      </c>
      <c r="R7" s="67">
        <v>4</v>
      </c>
      <c r="S7" s="69">
        <f>AVERAGE(F7:R7)</f>
        <v>4.3076923076923075</v>
      </c>
      <c r="T7" s="76"/>
      <c r="U7" s="33"/>
      <c r="W7" s="17"/>
      <c r="X7" s="65"/>
      <c r="Y7" s="20"/>
    </row>
    <row r="8" spans="2:25" ht="41.45" customHeight="1" thickBot="1">
      <c r="B8" s="26"/>
      <c r="C8" s="27" t="s">
        <v>98</v>
      </c>
      <c r="D8" s="27" t="s">
        <v>99</v>
      </c>
      <c r="E8" s="39" t="s">
        <v>100</v>
      </c>
      <c r="F8" s="67">
        <v>3</v>
      </c>
      <c r="G8" s="67">
        <v>5</v>
      </c>
      <c r="H8" s="67">
        <v>5</v>
      </c>
      <c r="I8" s="67">
        <v>5</v>
      </c>
      <c r="J8" s="67">
        <v>5</v>
      </c>
      <c r="K8" s="67">
        <v>4</v>
      </c>
      <c r="L8" s="80">
        <v>3</v>
      </c>
      <c r="M8" s="67">
        <v>5</v>
      </c>
      <c r="N8" s="67">
        <v>5</v>
      </c>
      <c r="O8" s="67">
        <f>9 - J8</f>
        <v>4</v>
      </c>
      <c r="P8" s="67">
        <v>4</v>
      </c>
      <c r="Q8" s="67">
        <v>4</v>
      </c>
      <c r="R8" s="67">
        <v>4</v>
      </c>
      <c r="S8" s="69">
        <f>AVERAGE(F8:R8)</f>
        <v>4.3076923076923075</v>
      </c>
      <c r="T8" s="76"/>
      <c r="U8" s="33"/>
      <c r="V8" s="21"/>
      <c r="W8" s="17"/>
      <c r="X8" s="65"/>
      <c r="Y8" s="20"/>
    </row>
    <row r="9" spans="2:25" ht="37.5" customHeight="1" thickBot="1">
      <c r="B9" s="26"/>
      <c r="C9" s="27" t="s">
        <v>101</v>
      </c>
      <c r="D9" s="27" t="s">
        <v>102</v>
      </c>
      <c r="E9" s="39" t="s">
        <v>103</v>
      </c>
      <c r="F9" s="67">
        <v>4</v>
      </c>
      <c r="G9" s="67">
        <v>5</v>
      </c>
      <c r="H9" s="67">
        <v>5</v>
      </c>
      <c r="I9" s="67">
        <v>5</v>
      </c>
      <c r="J9" s="67">
        <v>5</v>
      </c>
      <c r="K9" s="67">
        <v>4</v>
      </c>
      <c r="L9" s="80">
        <v>3</v>
      </c>
      <c r="M9" s="67">
        <v>5</v>
      </c>
      <c r="N9" s="67">
        <v>5</v>
      </c>
      <c r="O9" s="67">
        <f>9 - J9</f>
        <v>4</v>
      </c>
      <c r="P9" s="67">
        <v>4</v>
      </c>
      <c r="Q9" s="67">
        <v>5</v>
      </c>
      <c r="R9" s="67">
        <v>4</v>
      </c>
      <c r="S9" s="69">
        <f>AVERAGE(F9:R9)</f>
        <v>4.4615384615384617</v>
      </c>
      <c r="T9" s="76"/>
      <c r="U9" s="34"/>
      <c r="V9" s="35"/>
      <c r="W9" s="36"/>
      <c r="X9" s="66"/>
      <c r="Y9" s="38"/>
    </row>
    <row r="10" spans="2:25" ht="39.950000000000003" customHeight="1" thickTop="1" thickBot="1">
      <c r="B10" s="50" t="s">
        <v>104</v>
      </c>
      <c r="C10" s="51"/>
      <c r="D10" s="51"/>
      <c r="E10" s="51"/>
      <c r="F10" s="51"/>
      <c r="G10" s="51"/>
      <c r="H10" s="51"/>
      <c r="I10" s="51"/>
      <c r="J10" s="51"/>
      <c r="K10" s="51"/>
      <c r="L10" s="40"/>
      <c r="M10" s="51"/>
      <c r="N10" s="51"/>
      <c r="O10" s="51"/>
      <c r="P10" s="51"/>
      <c r="Q10" s="51"/>
      <c r="R10" s="51"/>
      <c r="S10" s="69"/>
      <c r="T10" s="69">
        <f>AVERAGE(S11:S15)</f>
        <v>3.9918414918414924</v>
      </c>
      <c r="U10" s="32"/>
      <c r="V10" s="19"/>
      <c r="W10" s="19"/>
      <c r="X10" s="19"/>
      <c r="Y10" s="19"/>
    </row>
    <row r="11" spans="2:25" ht="41.45" customHeight="1" thickBot="1">
      <c r="B11" s="26"/>
      <c r="C11" s="27" t="s">
        <v>105</v>
      </c>
      <c r="D11" s="27" t="s">
        <v>106</v>
      </c>
      <c r="E11" s="39" t="s">
        <v>107</v>
      </c>
      <c r="F11" s="67">
        <v>4</v>
      </c>
      <c r="G11" s="67">
        <v>4</v>
      </c>
      <c r="H11" s="67">
        <v>5</v>
      </c>
      <c r="I11" s="67">
        <v>4</v>
      </c>
      <c r="J11" s="67">
        <v>5</v>
      </c>
      <c r="K11" s="67">
        <v>4</v>
      </c>
      <c r="L11" s="80">
        <v>4</v>
      </c>
      <c r="M11" s="67">
        <v>5</v>
      </c>
      <c r="N11" s="67">
        <v>4</v>
      </c>
      <c r="O11" s="67">
        <f>9 - J11</f>
        <v>4</v>
      </c>
      <c r="P11" s="67">
        <v>4</v>
      </c>
      <c r="Q11" s="67">
        <v>5</v>
      </c>
      <c r="R11" s="67">
        <v>5</v>
      </c>
      <c r="S11" s="69">
        <f>+AVERAGE(F11:R11)</f>
        <v>4.384615384615385</v>
      </c>
      <c r="T11" s="76"/>
      <c r="U11" s="33"/>
      <c r="V11" s="21"/>
      <c r="W11" s="17"/>
      <c r="X11" s="65"/>
      <c r="Y11" s="20"/>
    </row>
    <row r="12" spans="2:25" ht="48.95" customHeight="1" thickBot="1">
      <c r="B12" s="26"/>
      <c r="C12" s="27" t="s">
        <v>108</v>
      </c>
      <c r="D12" s="27" t="s">
        <v>109</v>
      </c>
      <c r="E12" s="39" t="s">
        <v>110</v>
      </c>
      <c r="F12" s="67">
        <v>5</v>
      </c>
      <c r="G12" s="67">
        <v>4</v>
      </c>
      <c r="H12" s="67">
        <v>4</v>
      </c>
      <c r="I12" s="67">
        <v>4</v>
      </c>
      <c r="J12" s="67">
        <v>4</v>
      </c>
      <c r="K12" s="67">
        <v>3</v>
      </c>
      <c r="L12" s="80">
        <v>4</v>
      </c>
      <c r="M12" s="67">
        <v>4</v>
      </c>
      <c r="N12" s="67">
        <v>3</v>
      </c>
      <c r="O12" s="67">
        <v>4</v>
      </c>
      <c r="P12" s="67">
        <v>4</v>
      </c>
      <c r="Q12" s="67">
        <v>3</v>
      </c>
      <c r="R12" s="67">
        <v>5</v>
      </c>
      <c r="S12" s="69">
        <f>+AVERAGE(F12:R12)</f>
        <v>3.9230769230769229</v>
      </c>
      <c r="T12" s="76"/>
      <c r="U12" s="33"/>
      <c r="V12" s="21"/>
      <c r="W12" s="17"/>
      <c r="X12" s="65"/>
      <c r="Y12" s="20"/>
    </row>
    <row r="13" spans="2:25" ht="41.45" customHeight="1" thickBot="1">
      <c r="B13" s="26"/>
      <c r="C13" s="27" t="s">
        <v>111</v>
      </c>
      <c r="D13" s="27" t="s">
        <v>112</v>
      </c>
      <c r="E13" s="39" t="s">
        <v>127</v>
      </c>
      <c r="F13" s="67">
        <v>5</v>
      </c>
      <c r="G13" s="67">
        <v>5</v>
      </c>
      <c r="H13" s="67">
        <v>5</v>
      </c>
      <c r="I13" s="67">
        <v>5</v>
      </c>
      <c r="J13" s="67"/>
      <c r="K13" s="67">
        <v>4</v>
      </c>
      <c r="L13" s="80">
        <v>5</v>
      </c>
      <c r="M13" s="67">
        <v>4</v>
      </c>
      <c r="N13" s="67">
        <v>4</v>
      </c>
      <c r="O13" s="67">
        <v>4</v>
      </c>
      <c r="P13" s="67">
        <v>5</v>
      </c>
      <c r="Q13" s="67">
        <v>5</v>
      </c>
      <c r="R13" s="67">
        <v>4</v>
      </c>
      <c r="S13" s="69">
        <f>+AVERAGE(F13:R13)</f>
        <v>4.583333333333333</v>
      </c>
      <c r="T13" s="76"/>
      <c r="U13" s="58"/>
      <c r="V13" s="21"/>
      <c r="W13" s="17"/>
      <c r="X13" s="65"/>
      <c r="Y13" s="20"/>
    </row>
    <row r="14" spans="2:25" ht="41.45" customHeight="1" thickBot="1">
      <c r="B14" s="26"/>
      <c r="C14" s="27" t="s">
        <v>114</v>
      </c>
      <c r="D14" s="27" t="s">
        <v>115</v>
      </c>
      <c r="E14" s="39" t="s">
        <v>116</v>
      </c>
      <c r="F14" s="67">
        <v>4</v>
      </c>
      <c r="G14" s="67">
        <v>5</v>
      </c>
      <c r="H14" s="67">
        <v>4</v>
      </c>
      <c r="I14" s="67">
        <v>4</v>
      </c>
      <c r="J14" s="67"/>
      <c r="K14" s="67">
        <v>3</v>
      </c>
      <c r="L14" s="80">
        <v>5</v>
      </c>
      <c r="M14" s="67">
        <v>5</v>
      </c>
      <c r="N14" s="67">
        <v>4</v>
      </c>
      <c r="O14" s="67">
        <v>4</v>
      </c>
      <c r="P14" s="67">
        <v>4</v>
      </c>
      <c r="Q14" s="67">
        <v>5</v>
      </c>
      <c r="R14" s="67">
        <v>4</v>
      </c>
      <c r="S14" s="69">
        <f>+AVERAGE(F14:R14)</f>
        <v>4.25</v>
      </c>
      <c r="T14" s="77"/>
      <c r="U14" s="58"/>
      <c r="V14" s="21"/>
      <c r="W14" s="17"/>
      <c r="X14" s="65"/>
      <c r="Y14" s="20"/>
    </row>
    <row r="15" spans="2:25" ht="41.45" customHeight="1" thickBot="1">
      <c r="B15" s="41"/>
      <c r="C15" s="42" t="s">
        <v>117</v>
      </c>
      <c r="D15" s="43" t="s">
        <v>118</v>
      </c>
      <c r="E15" s="44" t="s">
        <v>119</v>
      </c>
      <c r="F15" s="67">
        <v>3</v>
      </c>
      <c r="G15" s="67">
        <v>3</v>
      </c>
      <c r="H15" s="67">
        <v>3</v>
      </c>
      <c r="I15" s="67">
        <v>3</v>
      </c>
      <c r="J15" s="67"/>
      <c r="K15" s="67">
        <v>3</v>
      </c>
      <c r="L15" s="80">
        <v>3</v>
      </c>
      <c r="M15" s="67"/>
      <c r="N15" s="67">
        <v>2</v>
      </c>
      <c r="O15" s="67">
        <v>2</v>
      </c>
      <c r="P15" s="67">
        <v>3</v>
      </c>
      <c r="Q15" s="67">
        <v>3</v>
      </c>
      <c r="R15" s="67">
        <v>3</v>
      </c>
      <c r="S15" s="70">
        <f>+AVERAGE(F15:R15)</f>
        <v>2.8181818181818183</v>
      </c>
      <c r="T15" s="78"/>
      <c r="U15" s="58"/>
      <c r="V15" s="21"/>
      <c r="W15" s="17"/>
      <c r="X15" s="65"/>
      <c r="Y15" s="20"/>
    </row>
    <row r="17" spans="2:4" ht="18.600000000000001">
      <c r="B17" s="53" t="s">
        <v>120</v>
      </c>
    </row>
    <row r="18" spans="2:4" ht="15.95">
      <c r="B18" s="30" t="s">
        <v>121</v>
      </c>
    </row>
    <row r="19" spans="2:4" ht="18.600000000000001">
      <c r="B19" s="29"/>
    </row>
    <row r="20" spans="2:4" ht="45.95" customHeight="1">
      <c r="B20" s="51" t="str">
        <f>B4</f>
        <v xml:space="preserve">Valeur Business </v>
      </c>
      <c r="C20" s="75">
        <f>T4</f>
        <v>4.3538461538461535</v>
      </c>
      <c r="D20" s="64" t="str">
        <f>IF(C20&lt;2.5,"Faible",IF(AND(C20&gt;=2.5,C20&lt;4),"Moyen","Fort"))</f>
        <v>Fort</v>
      </c>
    </row>
    <row r="21" spans="2:4" ht="45.95" customHeight="1">
      <c r="B21" s="51" t="str">
        <f>B10</f>
        <v>Maturité du Use Case</v>
      </c>
      <c r="C21" s="75">
        <f>T10</f>
        <v>3.9918414918414924</v>
      </c>
      <c r="D21" s="64" t="str">
        <f>IF(C21&lt;2.5,"Faible",IF(AND(C21&gt;=2.5,C21&lt;4),"Moyen","Fort"))</f>
        <v>Moyen</v>
      </c>
    </row>
    <row r="24" spans="2:4" ht="87.6" customHeight="1">
      <c r="B24" s="91" t="s">
        <v>122</v>
      </c>
      <c r="C24" s="91"/>
      <c r="D24" s="73"/>
    </row>
    <row r="26" spans="2:4" ht="18.600000000000001">
      <c r="B26" s="63" t="str">
        <f>IF(C20&lt;3,"Hors priorité",
   IF(AND(C20&gt;=4,C21&gt;=4),"Hackathon",
      IF(AND(C20&gt;=4,C21&lt;4),"Backlog projet",
         IF(AND(C20&gt;=3,C20&lt;4,C21&gt;=4),"Self AI (Copilot Studio)",
            "Backlog projet"
         )
      )
   )
)</f>
        <v>Backlog projet</v>
      </c>
    </row>
    <row r="28" spans="2:4">
      <c r="B28" s="18" t="s">
        <v>123</v>
      </c>
    </row>
    <row r="29" spans="2:4" ht="130.5">
      <c r="B29" s="62" t="s">
        <v>124</v>
      </c>
    </row>
  </sheetData>
  <mergeCells count="2">
    <mergeCell ref="C2:T2"/>
    <mergeCell ref="B24:C24"/>
  </mergeCells>
  <conditionalFormatting sqref="D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sqref="F11:R15 F5:R9" xr:uid="{41438145-634A-4D27-BD5E-D4C686D7F07E}">
      <formula1>0</formula1>
      <formula2>5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DD652-0B18-4305-B86A-D742361CE3E2}">
  <sheetPr codeName="Feuil21"/>
  <dimension ref="B1:Y29"/>
  <sheetViews>
    <sheetView showGridLines="0" zoomScale="40" zoomScaleNormal="40" workbookViewId="0">
      <pane xSplit="5" ySplit="3" topLeftCell="F4" activePane="bottomRight" state="frozen"/>
      <selection pane="bottomRight" activeCell="H21" sqref="H21"/>
      <selection pane="bottomLeft" activeCell="A4" sqref="A4"/>
      <selection pane="topRight" activeCell="F1" sqref="F1"/>
    </sheetView>
  </sheetViews>
  <sheetFormatPr defaultColWidth="10.7109375" defaultRowHeight="14.45"/>
  <cols>
    <col min="1" max="1" width="4" style="18" customWidth="1"/>
    <col min="2" max="2" width="19.7109375" style="18" customWidth="1"/>
    <col min="3" max="3" width="11.42578125" style="18" customWidth="1"/>
    <col min="4" max="4" width="58.42578125" style="18" customWidth="1"/>
    <col min="5" max="5" width="13.28515625" style="18" customWidth="1"/>
    <col min="6" max="11" width="18.42578125" style="18" customWidth="1"/>
    <col min="12" max="12" width="18.42578125" style="56" customWidth="1"/>
    <col min="13" max="18" width="18.42578125" style="18" customWidth="1"/>
    <col min="19" max="19" width="10.42578125" style="18" customWidth="1"/>
    <col min="20" max="20" width="15.28515625" style="18" customWidth="1"/>
    <col min="21" max="21" width="10.7109375" style="18" bestFit="1"/>
    <col min="22" max="22" width="15" style="18" customWidth="1"/>
    <col min="23" max="16384" width="10.7109375" style="18"/>
  </cols>
  <sheetData>
    <row r="1" spans="2:25" ht="15" thickBot="1"/>
    <row r="2" spans="2:25" ht="32.1" customHeight="1">
      <c r="B2" s="23" t="s">
        <v>141</v>
      </c>
      <c r="C2" s="92" t="s">
        <v>142</v>
      </c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31"/>
    </row>
    <row r="3" spans="2:25" ht="63.6" customHeight="1" thickBot="1">
      <c r="B3" s="25" t="s">
        <v>1</v>
      </c>
      <c r="C3" s="25" t="s">
        <v>2</v>
      </c>
      <c r="D3" s="25" t="s">
        <v>73</v>
      </c>
      <c r="E3" s="25" t="s">
        <v>74</v>
      </c>
      <c r="F3" s="25" t="s">
        <v>75</v>
      </c>
      <c r="G3" s="25" t="s">
        <v>76</v>
      </c>
      <c r="H3" s="25" t="s">
        <v>77</v>
      </c>
      <c r="I3" s="25" t="s">
        <v>78</v>
      </c>
      <c r="J3" s="25" t="s">
        <v>79</v>
      </c>
      <c r="K3" s="25" t="s">
        <v>80</v>
      </c>
      <c r="L3" s="25" t="s">
        <v>81</v>
      </c>
      <c r="M3" s="25" t="s">
        <v>82</v>
      </c>
      <c r="N3" s="25" t="s">
        <v>83</v>
      </c>
      <c r="O3" s="25" t="s">
        <v>84</v>
      </c>
      <c r="P3" s="25" t="s">
        <v>85</v>
      </c>
      <c r="Q3" s="25" t="s">
        <v>86</v>
      </c>
      <c r="R3" s="25" t="s">
        <v>87</v>
      </c>
      <c r="S3" s="25" t="s">
        <v>88</v>
      </c>
      <c r="T3" s="25" t="s">
        <v>89</v>
      </c>
      <c r="U3" s="31"/>
    </row>
    <row r="4" spans="2:25" ht="36.950000000000003" customHeight="1" thickTop="1" thickBot="1">
      <c r="B4" s="46" t="s">
        <v>90</v>
      </c>
      <c r="C4" s="47"/>
      <c r="D4" s="47"/>
      <c r="E4" s="47"/>
      <c r="F4" s="47"/>
      <c r="G4" s="47"/>
      <c r="H4" s="47"/>
      <c r="I4" s="47"/>
      <c r="J4" s="47"/>
      <c r="K4" s="47"/>
      <c r="L4" s="48"/>
      <c r="M4" s="47"/>
      <c r="N4" s="47"/>
      <c r="O4" s="47"/>
      <c r="P4" s="47"/>
      <c r="Q4" s="47"/>
      <c r="R4" s="47"/>
      <c r="S4" s="48"/>
      <c r="T4" s="71">
        <f>AVERAGE(S5:S9)</f>
        <v>3.2461538461538462</v>
      </c>
      <c r="U4" s="32"/>
      <c r="V4" s="19"/>
      <c r="W4" s="19"/>
      <c r="X4" s="19"/>
      <c r="Y4" s="19"/>
    </row>
    <row r="5" spans="2:25" ht="82.5" customHeight="1" thickBot="1">
      <c r="B5" s="26"/>
      <c r="C5" s="27" t="s">
        <v>91</v>
      </c>
      <c r="D5" s="27" t="s">
        <v>92</v>
      </c>
      <c r="E5" s="39" t="s">
        <v>93</v>
      </c>
      <c r="F5" s="67">
        <v>4</v>
      </c>
      <c r="G5" s="67">
        <v>4</v>
      </c>
      <c r="H5" s="67">
        <v>4</v>
      </c>
      <c r="I5" s="67">
        <v>4</v>
      </c>
      <c r="J5" s="67">
        <v>4</v>
      </c>
      <c r="K5" s="67">
        <v>4</v>
      </c>
      <c r="L5" s="80">
        <v>4</v>
      </c>
      <c r="M5" s="67">
        <v>4</v>
      </c>
      <c r="N5" s="67">
        <v>4</v>
      </c>
      <c r="O5" s="67">
        <v>5</v>
      </c>
      <c r="P5" s="67">
        <v>4</v>
      </c>
      <c r="Q5" s="67">
        <v>4</v>
      </c>
      <c r="R5" s="67">
        <v>4</v>
      </c>
      <c r="S5" s="69">
        <f>AVERAGE(F5:R5)</f>
        <v>4.0769230769230766</v>
      </c>
      <c r="T5" s="76"/>
      <c r="U5" s="33"/>
      <c r="W5" s="17"/>
      <c r="X5" s="65"/>
      <c r="Y5" s="20"/>
    </row>
    <row r="6" spans="2:25" ht="64.5" thickBot="1">
      <c r="B6" s="26"/>
      <c r="C6" s="27" t="s">
        <v>41</v>
      </c>
      <c r="D6" s="27" t="s">
        <v>94</v>
      </c>
      <c r="E6" s="39" t="s">
        <v>95</v>
      </c>
      <c r="F6" s="67">
        <v>2</v>
      </c>
      <c r="G6" s="67">
        <v>2</v>
      </c>
      <c r="H6" s="67">
        <v>1</v>
      </c>
      <c r="I6" s="67">
        <v>3</v>
      </c>
      <c r="J6" s="67">
        <v>3</v>
      </c>
      <c r="K6" s="67">
        <v>3</v>
      </c>
      <c r="L6" s="80">
        <v>2</v>
      </c>
      <c r="M6" s="67">
        <v>2</v>
      </c>
      <c r="N6" s="67">
        <v>3</v>
      </c>
      <c r="O6" s="67">
        <v>3</v>
      </c>
      <c r="P6" s="67">
        <v>3</v>
      </c>
      <c r="Q6" s="67">
        <v>1</v>
      </c>
      <c r="R6" s="67">
        <v>3</v>
      </c>
      <c r="S6" s="69">
        <f>AVERAGE(F6:R6)</f>
        <v>2.3846153846153846</v>
      </c>
      <c r="T6" s="76"/>
      <c r="U6" s="33"/>
      <c r="W6" s="17"/>
      <c r="X6" s="65"/>
      <c r="Y6" s="20"/>
    </row>
    <row r="7" spans="2:25" ht="96.6" thickBot="1">
      <c r="B7" s="26"/>
      <c r="C7" s="27" t="s">
        <v>52</v>
      </c>
      <c r="D7" s="27" t="s">
        <v>96</v>
      </c>
      <c r="E7" s="39" t="s">
        <v>97</v>
      </c>
      <c r="F7" s="67">
        <v>4</v>
      </c>
      <c r="G7" s="67">
        <v>4</v>
      </c>
      <c r="H7" s="67">
        <v>3</v>
      </c>
      <c r="I7" s="67">
        <v>4</v>
      </c>
      <c r="J7" s="67">
        <v>3</v>
      </c>
      <c r="K7" s="67">
        <v>4</v>
      </c>
      <c r="L7" s="80">
        <v>5</v>
      </c>
      <c r="M7" s="67">
        <v>4</v>
      </c>
      <c r="N7" s="67">
        <v>4</v>
      </c>
      <c r="O7" s="67">
        <v>5</v>
      </c>
      <c r="P7" s="67">
        <v>3</v>
      </c>
      <c r="Q7" s="67">
        <v>3</v>
      </c>
      <c r="R7" s="67">
        <v>3</v>
      </c>
      <c r="S7" s="69">
        <f>AVERAGE(F7:R7)</f>
        <v>3.7692307692307692</v>
      </c>
      <c r="T7" s="76"/>
      <c r="U7" s="33"/>
      <c r="W7" s="17"/>
      <c r="X7" s="65"/>
      <c r="Y7" s="20"/>
    </row>
    <row r="8" spans="2:25" ht="41.45" customHeight="1" thickBot="1">
      <c r="B8" s="26"/>
      <c r="C8" s="27" t="s">
        <v>98</v>
      </c>
      <c r="D8" s="27" t="s">
        <v>99</v>
      </c>
      <c r="E8" s="39" t="s">
        <v>100</v>
      </c>
      <c r="F8" s="67">
        <v>3</v>
      </c>
      <c r="G8" s="67">
        <v>3</v>
      </c>
      <c r="H8" s="67">
        <v>2</v>
      </c>
      <c r="I8" s="67">
        <v>3</v>
      </c>
      <c r="J8" s="67">
        <v>4</v>
      </c>
      <c r="K8" s="67">
        <v>3</v>
      </c>
      <c r="L8" s="80">
        <v>2</v>
      </c>
      <c r="M8" s="67">
        <v>2</v>
      </c>
      <c r="N8" s="67">
        <v>3</v>
      </c>
      <c r="O8" s="67">
        <v>4</v>
      </c>
      <c r="P8" s="67">
        <v>3</v>
      </c>
      <c r="Q8" s="67">
        <v>1</v>
      </c>
      <c r="R8" s="67">
        <v>2</v>
      </c>
      <c r="S8" s="69">
        <f>AVERAGE(F8:R8)</f>
        <v>2.6923076923076925</v>
      </c>
      <c r="T8" s="76"/>
      <c r="U8" s="33"/>
      <c r="V8" s="21"/>
      <c r="W8" s="17"/>
      <c r="X8" s="65"/>
      <c r="Y8" s="20"/>
    </row>
    <row r="9" spans="2:25" ht="80.45" thickBot="1">
      <c r="B9" s="26"/>
      <c r="C9" s="27" t="s">
        <v>101</v>
      </c>
      <c r="D9" s="27" t="s">
        <v>102</v>
      </c>
      <c r="E9" s="39" t="s">
        <v>103</v>
      </c>
      <c r="F9" s="67">
        <v>5</v>
      </c>
      <c r="G9" s="67">
        <v>3</v>
      </c>
      <c r="H9" s="67">
        <v>2</v>
      </c>
      <c r="I9" s="67">
        <v>3</v>
      </c>
      <c r="J9" s="67">
        <v>4</v>
      </c>
      <c r="K9" s="67">
        <v>4</v>
      </c>
      <c r="L9" s="80">
        <v>2</v>
      </c>
      <c r="M9" s="67">
        <v>3</v>
      </c>
      <c r="N9" s="67">
        <v>3</v>
      </c>
      <c r="O9" s="67">
        <v>5</v>
      </c>
      <c r="P9" s="67">
        <v>3</v>
      </c>
      <c r="Q9" s="67">
        <v>3</v>
      </c>
      <c r="R9" s="67">
        <v>3</v>
      </c>
      <c r="S9" s="69">
        <f>AVERAGE(F9:R9)</f>
        <v>3.3076923076923075</v>
      </c>
      <c r="T9" s="76"/>
      <c r="U9" s="34"/>
      <c r="V9" s="35"/>
      <c r="W9" s="36"/>
      <c r="X9" s="66"/>
      <c r="Y9" s="38"/>
    </row>
    <row r="10" spans="2:25" ht="39.950000000000003" customHeight="1" thickTop="1" thickBot="1">
      <c r="B10" s="50" t="s">
        <v>104</v>
      </c>
      <c r="C10" s="51"/>
      <c r="D10" s="51"/>
      <c r="E10" s="51"/>
      <c r="F10" s="51"/>
      <c r="G10" s="51"/>
      <c r="H10" s="51"/>
      <c r="I10" s="51"/>
      <c r="J10" s="51"/>
      <c r="K10" s="51"/>
      <c r="L10" s="40"/>
      <c r="M10" s="51"/>
      <c r="N10" s="51"/>
      <c r="O10" s="51"/>
      <c r="P10" s="51"/>
      <c r="Q10" s="51"/>
      <c r="R10" s="51"/>
      <c r="S10" s="69"/>
      <c r="T10" s="69">
        <f>AVERAGE(S11:S15)</f>
        <v>2.683799533799534</v>
      </c>
      <c r="U10" s="32"/>
      <c r="V10" s="19"/>
      <c r="W10" s="19"/>
      <c r="X10" s="19"/>
      <c r="Y10" s="19"/>
    </row>
    <row r="11" spans="2:25" ht="48.6" thickBot="1">
      <c r="B11" s="26"/>
      <c r="C11" s="27" t="s">
        <v>105</v>
      </c>
      <c r="D11" s="27" t="s">
        <v>106</v>
      </c>
      <c r="E11" s="39" t="s">
        <v>107</v>
      </c>
      <c r="F11" s="67">
        <v>4</v>
      </c>
      <c r="G11" s="67">
        <v>2</v>
      </c>
      <c r="H11" s="67">
        <v>4</v>
      </c>
      <c r="I11" s="67">
        <v>3</v>
      </c>
      <c r="J11" s="67">
        <v>4</v>
      </c>
      <c r="K11" s="67">
        <v>4</v>
      </c>
      <c r="L11" s="80">
        <v>4</v>
      </c>
      <c r="M11" s="67">
        <v>3</v>
      </c>
      <c r="N11" s="67">
        <v>4</v>
      </c>
      <c r="O11" s="67">
        <v>3</v>
      </c>
      <c r="P11" s="67">
        <v>3</v>
      </c>
      <c r="Q11" s="67">
        <v>3</v>
      </c>
      <c r="R11" s="67">
        <v>3</v>
      </c>
      <c r="S11" s="69">
        <f>+AVERAGE(F11:R11)</f>
        <v>3.3846153846153846</v>
      </c>
      <c r="T11" s="76"/>
      <c r="U11" s="33"/>
      <c r="V11" s="21"/>
      <c r="W11" s="17"/>
      <c r="X11" s="65"/>
      <c r="Y11" s="20"/>
    </row>
    <row r="12" spans="2:25" ht="80.45" thickBot="1">
      <c r="B12" s="26"/>
      <c r="C12" s="27" t="s">
        <v>108</v>
      </c>
      <c r="D12" s="27" t="s">
        <v>109</v>
      </c>
      <c r="E12" s="39" t="s">
        <v>110</v>
      </c>
      <c r="F12" s="67">
        <v>3</v>
      </c>
      <c r="G12" s="67">
        <v>2</v>
      </c>
      <c r="H12" s="67">
        <v>3</v>
      </c>
      <c r="I12" s="67">
        <v>3</v>
      </c>
      <c r="J12" s="67">
        <v>4</v>
      </c>
      <c r="K12" s="67">
        <v>3</v>
      </c>
      <c r="L12" s="80">
        <v>1</v>
      </c>
      <c r="M12" s="67">
        <v>3</v>
      </c>
      <c r="N12" s="67">
        <v>3</v>
      </c>
      <c r="O12" s="67">
        <v>4</v>
      </c>
      <c r="P12" s="67">
        <v>1</v>
      </c>
      <c r="Q12" s="67">
        <v>4</v>
      </c>
      <c r="R12" s="67">
        <v>2</v>
      </c>
      <c r="S12" s="69">
        <f>+AVERAGE(F12:R12)</f>
        <v>2.7692307692307692</v>
      </c>
      <c r="T12" s="76"/>
      <c r="U12" s="33"/>
      <c r="V12" s="21"/>
      <c r="W12" s="17"/>
      <c r="X12" s="65"/>
      <c r="Y12" s="20"/>
    </row>
    <row r="13" spans="2:25" ht="48.6" thickBot="1">
      <c r="B13" s="26"/>
      <c r="C13" s="27" t="s">
        <v>111</v>
      </c>
      <c r="D13" s="27" t="s">
        <v>112</v>
      </c>
      <c r="E13" s="39" t="s">
        <v>127</v>
      </c>
      <c r="F13" s="67">
        <v>2</v>
      </c>
      <c r="G13" s="67">
        <v>3</v>
      </c>
      <c r="H13" s="67">
        <v>3</v>
      </c>
      <c r="I13" s="67">
        <v>3</v>
      </c>
      <c r="J13" s="67"/>
      <c r="K13" s="67">
        <v>3</v>
      </c>
      <c r="L13" s="80">
        <v>5</v>
      </c>
      <c r="M13" s="67">
        <v>3</v>
      </c>
      <c r="N13" s="67">
        <v>3</v>
      </c>
      <c r="O13" s="67">
        <v>4</v>
      </c>
      <c r="P13" s="67">
        <v>3</v>
      </c>
      <c r="Q13" s="67">
        <v>2</v>
      </c>
      <c r="R13" s="67">
        <v>3</v>
      </c>
      <c r="S13" s="69">
        <f>+AVERAGE(F13:R13)</f>
        <v>3.0833333333333335</v>
      </c>
      <c r="T13" s="76"/>
      <c r="U13" s="58"/>
      <c r="V13" s="21"/>
      <c r="W13" s="17"/>
      <c r="X13" s="65"/>
      <c r="Y13" s="20"/>
    </row>
    <row r="14" spans="2:25" ht="64.5" thickBot="1">
      <c r="B14" s="26"/>
      <c r="C14" s="27" t="s">
        <v>114</v>
      </c>
      <c r="D14" s="27" t="s">
        <v>115</v>
      </c>
      <c r="E14" s="39" t="s">
        <v>116</v>
      </c>
      <c r="F14" s="67">
        <v>1</v>
      </c>
      <c r="G14" s="67">
        <v>3</v>
      </c>
      <c r="H14" s="67">
        <v>1</v>
      </c>
      <c r="I14" s="67">
        <v>3</v>
      </c>
      <c r="J14" s="67"/>
      <c r="K14" s="67">
        <v>3</v>
      </c>
      <c r="L14" s="80">
        <v>1</v>
      </c>
      <c r="M14" s="67">
        <v>2</v>
      </c>
      <c r="N14" s="67">
        <v>2</v>
      </c>
      <c r="O14" s="67">
        <v>3</v>
      </c>
      <c r="P14" s="67">
        <v>2</v>
      </c>
      <c r="Q14" s="67">
        <v>1</v>
      </c>
      <c r="R14" s="67">
        <v>2</v>
      </c>
      <c r="S14" s="69">
        <f>+AVERAGE(F14:R14)</f>
        <v>2</v>
      </c>
      <c r="T14" s="77"/>
      <c r="U14" s="58"/>
      <c r="V14" s="21"/>
      <c r="W14" s="17"/>
      <c r="X14" s="65"/>
      <c r="Y14" s="20"/>
    </row>
    <row r="15" spans="2:25" ht="64.5" thickBot="1">
      <c r="B15" s="41"/>
      <c r="C15" s="42" t="s">
        <v>117</v>
      </c>
      <c r="D15" s="43" t="s">
        <v>118</v>
      </c>
      <c r="E15" s="44" t="s">
        <v>119</v>
      </c>
      <c r="F15" s="67">
        <v>1</v>
      </c>
      <c r="G15" s="67">
        <v>2</v>
      </c>
      <c r="H15" s="67">
        <v>2</v>
      </c>
      <c r="I15" s="67">
        <v>2</v>
      </c>
      <c r="J15" s="67"/>
      <c r="K15" s="67">
        <v>4</v>
      </c>
      <c r="L15" s="80">
        <v>2</v>
      </c>
      <c r="M15" s="67"/>
      <c r="N15" s="67">
        <v>1</v>
      </c>
      <c r="O15" s="67">
        <v>3</v>
      </c>
      <c r="P15" s="67">
        <v>2</v>
      </c>
      <c r="Q15" s="67">
        <v>2</v>
      </c>
      <c r="R15" s="67">
        <v>3</v>
      </c>
      <c r="S15" s="70">
        <f>+AVERAGE(F15:R15)</f>
        <v>2.1818181818181817</v>
      </c>
      <c r="T15" s="78"/>
      <c r="U15" s="58"/>
      <c r="V15" s="21"/>
      <c r="W15" s="17"/>
      <c r="X15" s="65"/>
      <c r="Y15" s="20"/>
    </row>
    <row r="16" spans="2:25">
      <c r="Q16" s="18" t="s">
        <v>143</v>
      </c>
    </row>
    <row r="17" spans="2:17" ht="18.600000000000001">
      <c r="B17" s="53" t="s">
        <v>120</v>
      </c>
      <c r="Q17" s="18" t="s">
        <v>144</v>
      </c>
    </row>
    <row r="18" spans="2:17" ht="15.95">
      <c r="B18" s="30" t="s">
        <v>121</v>
      </c>
    </row>
    <row r="19" spans="2:17" ht="18.600000000000001">
      <c r="B19" s="29"/>
    </row>
    <row r="20" spans="2:17" ht="45.95" customHeight="1">
      <c r="B20" s="51" t="str">
        <f>B4</f>
        <v xml:space="preserve">Valeur Business </v>
      </c>
      <c r="C20" s="75">
        <f>T4</f>
        <v>3.2461538461538462</v>
      </c>
      <c r="D20" s="64" t="str">
        <f>IF(C20&lt;2.5,"Faible",IF(AND(C20&gt;=2.5,C20&lt;4),"Moyen","Fort"))</f>
        <v>Moyen</v>
      </c>
    </row>
    <row r="21" spans="2:17" ht="45.95" customHeight="1">
      <c r="B21" s="51" t="str">
        <f>B10</f>
        <v>Maturité du Use Case</v>
      </c>
      <c r="C21" s="75">
        <f>T10</f>
        <v>2.683799533799534</v>
      </c>
      <c r="D21" s="64" t="str">
        <f>IF(C21&lt;2.5,"Faible",IF(AND(C21&gt;=2.5,C21&lt;4),"Moyen","Fort"))</f>
        <v>Moyen</v>
      </c>
    </row>
    <row r="24" spans="2:17" ht="83.45" customHeight="1">
      <c r="B24" s="91" t="s">
        <v>136</v>
      </c>
      <c r="C24" s="91"/>
      <c r="D24" s="73"/>
    </row>
    <row r="26" spans="2:17" ht="18.600000000000001">
      <c r="B26" s="63" t="str">
        <f>IF(C20&lt;3,"Hors priorité",
   IF(AND(C20&gt;=4,C21&gt;=4),"Hackathon",
      IF(AND(C20&gt;=4,C21&lt;4),"Backlog projet",
         IF(AND(C20&gt;=3,C20&lt;4,C21&gt;=4),"Self AI (Copilot Studio)",
            "Backlog projet"
         )
      )
   )
)</f>
        <v>Backlog projet</v>
      </c>
    </row>
    <row r="28" spans="2:17">
      <c r="B28" s="18" t="s">
        <v>123</v>
      </c>
    </row>
    <row r="29" spans="2:17" ht="174">
      <c r="B29" s="62" t="s">
        <v>124</v>
      </c>
    </row>
  </sheetData>
  <mergeCells count="2">
    <mergeCell ref="C2:T2"/>
    <mergeCell ref="B24:C24"/>
  </mergeCells>
  <conditionalFormatting sqref="D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sqref="F11:R15 F5:R9" xr:uid="{51438993-6AEB-4F0C-8B5B-31C4DC004469}">
      <formula1>0</formula1>
      <formula2>5</formula2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A55B0-5094-47C7-B6BE-CFEE7A684F2C}">
  <dimension ref="B1:Y29"/>
  <sheetViews>
    <sheetView showGridLines="0" zoomScale="40" zoomScaleNormal="40" workbookViewId="0">
      <pane xSplit="5" ySplit="3" topLeftCell="F4" activePane="bottomRight" state="frozen"/>
      <selection pane="bottomRight" activeCell="F5" sqref="F5:F15"/>
      <selection pane="bottomLeft" activeCell="A4" sqref="A4"/>
      <selection pane="topRight" activeCell="F1" sqref="F1"/>
    </sheetView>
  </sheetViews>
  <sheetFormatPr defaultColWidth="10.7109375" defaultRowHeight="14.45"/>
  <cols>
    <col min="1" max="1" width="4" style="18" customWidth="1"/>
    <col min="2" max="2" width="14.140625" style="18" customWidth="1"/>
    <col min="3" max="3" width="29.5703125" style="18" customWidth="1"/>
    <col min="4" max="4" width="53.140625" style="18" customWidth="1"/>
    <col min="5" max="5" width="20.140625" style="18" customWidth="1"/>
    <col min="6" max="11" width="18.42578125" style="18" customWidth="1"/>
    <col min="12" max="12" width="18.42578125" style="56" customWidth="1"/>
    <col min="13" max="18" width="18.42578125" style="18" customWidth="1"/>
    <col min="19" max="19" width="10.42578125" style="18" customWidth="1"/>
    <col min="20" max="20" width="15.28515625" style="18" customWidth="1"/>
    <col min="21" max="21" width="10.7109375" style="18" bestFit="1"/>
    <col min="22" max="22" width="15" style="18" customWidth="1"/>
    <col min="23" max="16384" width="10.7109375" style="18"/>
  </cols>
  <sheetData>
    <row r="1" spans="2:25" ht="15" thickBot="1"/>
    <row r="2" spans="2:25" ht="32.1" customHeight="1">
      <c r="B2" s="23" t="s">
        <v>145</v>
      </c>
      <c r="C2" s="92" t="s">
        <v>146</v>
      </c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31"/>
    </row>
    <row r="3" spans="2:25" ht="63.6" customHeight="1" thickBot="1">
      <c r="B3" s="25" t="s">
        <v>1</v>
      </c>
      <c r="C3" s="25" t="s">
        <v>2</v>
      </c>
      <c r="D3" s="25" t="s">
        <v>73</v>
      </c>
      <c r="E3" s="25" t="s">
        <v>74</v>
      </c>
      <c r="F3" s="25" t="s">
        <v>75</v>
      </c>
      <c r="G3" s="25" t="s">
        <v>76</v>
      </c>
      <c r="H3" s="25" t="s">
        <v>77</v>
      </c>
      <c r="I3" s="25" t="s">
        <v>78</v>
      </c>
      <c r="J3" s="25" t="s">
        <v>79</v>
      </c>
      <c r="K3" s="25" t="s">
        <v>80</v>
      </c>
      <c r="L3" s="25" t="s">
        <v>81</v>
      </c>
      <c r="M3" s="25" t="s">
        <v>82</v>
      </c>
      <c r="N3" s="25" t="s">
        <v>83</v>
      </c>
      <c r="O3" s="25" t="s">
        <v>84</v>
      </c>
      <c r="P3" s="25" t="s">
        <v>85</v>
      </c>
      <c r="Q3" s="25" t="s">
        <v>86</v>
      </c>
      <c r="R3" s="25" t="s">
        <v>87</v>
      </c>
      <c r="S3" s="25" t="s">
        <v>88</v>
      </c>
      <c r="T3" s="25" t="s">
        <v>89</v>
      </c>
      <c r="U3" s="31"/>
    </row>
    <row r="4" spans="2:25" ht="36.950000000000003" customHeight="1" thickTop="1" thickBot="1">
      <c r="B4" s="46" t="s">
        <v>90</v>
      </c>
      <c r="C4" s="47"/>
      <c r="D4" s="47"/>
      <c r="E4" s="47"/>
      <c r="F4" s="47"/>
      <c r="G4" s="47"/>
      <c r="H4" s="47"/>
      <c r="I4" s="47"/>
      <c r="J4" s="47"/>
      <c r="K4" s="47"/>
      <c r="L4" s="48"/>
      <c r="M4" s="47"/>
      <c r="N4" s="47"/>
      <c r="O4" s="47"/>
      <c r="P4" s="47"/>
      <c r="Q4" s="47"/>
      <c r="R4" s="47"/>
      <c r="S4" s="48"/>
      <c r="T4" s="71">
        <f>AVERAGE(S5:S9)</f>
        <v>2.9384615384615378</v>
      </c>
      <c r="U4" s="32"/>
      <c r="V4" s="19"/>
      <c r="W4" s="19"/>
      <c r="X4" s="19"/>
      <c r="Y4" s="19"/>
    </row>
    <row r="5" spans="2:25" ht="60" customHeight="1" thickBot="1">
      <c r="B5" s="26"/>
      <c r="C5" s="27" t="s">
        <v>91</v>
      </c>
      <c r="D5" s="27" t="s">
        <v>92</v>
      </c>
      <c r="E5" s="39" t="s">
        <v>93</v>
      </c>
      <c r="F5" s="67">
        <v>3</v>
      </c>
      <c r="G5" s="67">
        <v>5</v>
      </c>
      <c r="H5" s="67">
        <v>3</v>
      </c>
      <c r="I5" s="67">
        <v>4</v>
      </c>
      <c r="J5" s="67">
        <v>4</v>
      </c>
      <c r="K5" s="67">
        <v>4</v>
      </c>
      <c r="L5" s="80">
        <v>3</v>
      </c>
      <c r="M5" s="67">
        <v>4</v>
      </c>
      <c r="N5" s="67">
        <v>3</v>
      </c>
      <c r="O5" s="67">
        <v>4</v>
      </c>
      <c r="P5" s="67">
        <v>3</v>
      </c>
      <c r="Q5" s="67">
        <v>5</v>
      </c>
      <c r="R5" s="67">
        <v>3</v>
      </c>
      <c r="S5" s="69">
        <f>AVERAGE(F5:R5)</f>
        <v>3.6923076923076925</v>
      </c>
      <c r="T5" s="76"/>
      <c r="U5" s="33"/>
      <c r="W5" s="17"/>
      <c r="X5" s="65"/>
      <c r="Y5" s="20"/>
    </row>
    <row r="6" spans="2:25" ht="71.45" customHeight="1" thickBot="1">
      <c r="B6" s="26"/>
      <c r="C6" s="27" t="s">
        <v>41</v>
      </c>
      <c r="D6" s="27" t="s">
        <v>94</v>
      </c>
      <c r="E6" s="39" t="s">
        <v>95</v>
      </c>
      <c r="F6" s="67">
        <v>3</v>
      </c>
      <c r="G6" s="67">
        <v>4</v>
      </c>
      <c r="H6" s="67">
        <v>0</v>
      </c>
      <c r="I6" s="67">
        <v>3</v>
      </c>
      <c r="J6" s="67">
        <v>2</v>
      </c>
      <c r="K6" s="67">
        <v>2</v>
      </c>
      <c r="L6" s="80">
        <v>2</v>
      </c>
      <c r="M6" s="67">
        <v>3</v>
      </c>
      <c r="N6" s="67">
        <v>2</v>
      </c>
      <c r="O6" s="67">
        <v>2</v>
      </c>
      <c r="P6" s="67">
        <v>2</v>
      </c>
      <c r="Q6" s="18">
        <v>4</v>
      </c>
      <c r="R6" s="67">
        <v>2</v>
      </c>
      <c r="S6" s="69">
        <f>AVERAGE(F6:R6)</f>
        <v>2.3846153846153846</v>
      </c>
      <c r="T6" s="76"/>
      <c r="U6" s="33"/>
      <c r="W6" s="17"/>
      <c r="X6" s="65"/>
      <c r="Y6" s="20"/>
    </row>
    <row r="7" spans="2:25" ht="37.5" customHeight="1" thickBot="1">
      <c r="B7" s="26"/>
      <c r="C7" s="27" t="s">
        <v>52</v>
      </c>
      <c r="D7" s="27" t="s">
        <v>96</v>
      </c>
      <c r="E7" s="39" t="s">
        <v>97</v>
      </c>
      <c r="F7" s="67">
        <v>3</v>
      </c>
      <c r="G7" s="67">
        <v>4</v>
      </c>
      <c r="H7" s="67">
        <v>0</v>
      </c>
      <c r="I7" s="67">
        <v>2</v>
      </c>
      <c r="J7" s="67">
        <v>2</v>
      </c>
      <c r="K7" s="67">
        <v>3</v>
      </c>
      <c r="L7" s="80">
        <v>1</v>
      </c>
      <c r="M7" s="67">
        <v>3</v>
      </c>
      <c r="N7" s="67">
        <v>2</v>
      </c>
      <c r="O7" s="67">
        <v>2</v>
      </c>
      <c r="P7" s="67">
        <v>3</v>
      </c>
      <c r="Q7" s="67">
        <v>2</v>
      </c>
      <c r="R7" s="67">
        <v>2</v>
      </c>
      <c r="S7" s="69">
        <f>AVERAGE(F7:R7)</f>
        <v>2.2307692307692308</v>
      </c>
      <c r="T7" s="76"/>
      <c r="U7" s="33"/>
      <c r="W7" s="17"/>
      <c r="X7" s="65"/>
      <c r="Y7" s="20"/>
    </row>
    <row r="8" spans="2:25" ht="41.45" customHeight="1" thickBot="1">
      <c r="B8" s="26"/>
      <c r="C8" s="27" t="s">
        <v>98</v>
      </c>
      <c r="D8" s="27" t="s">
        <v>99</v>
      </c>
      <c r="E8" s="39" t="s">
        <v>100</v>
      </c>
      <c r="F8" s="67">
        <v>3</v>
      </c>
      <c r="G8" s="67">
        <v>3</v>
      </c>
      <c r="H8" s="67">
        <v>3</v>
      </c>
      <c r="I8" s="67">
        <v>3</v>
      </c>
      <c r="J8" s="67">
        <v>4</v>
      </c>
      <c r="K8" s="67">
        <v>3</v>
      </c>
      <c r="L8" s="80">
        <v>2</v>
      </c>
      <c r="M8" s="67">
        <v>3</v>
      </c>
      <c r="N8" s="67">
        <v>3</v>
      </c>
      <c r="O8" s="67">
        <v>3</v>
      </c>
      <c r="P8" s="67">
        <v>3</v>
      </c>
      <c r="Q8" s="67">
        <v>4</v>
      </c>
      <c r="R8" s="67">
        <v>3</v>
      </c>
      <c r="S8" s="69">
        <f>AVERAGE(F8:R8)</f>
        <v>3.0769230769230771</v>
      </c>
      <c r="T8" s="76"/>
      <c r="U8" s="33"/>
      <c r="V8" s="21"/>
      <c r="W8" s="17"/>
      <c r="X8" s="65"/>
      <c r="Y8" s="20"/>
    </row>
    <row r="9" spans="2:25" ht="54" customHeight="1" thickBot="1">
      <c r="B9" s="26"/>
      <c r="C9" s="27" t="s">
        <v>101</v>
      </c>
      <c r="D9" s="27" t="s">
        <v>102</v>
      </c>
      <c r="E9" s="39" t="s">
        <v>103</v>
      </c>
      <c r="F9" s="67">
        <v>3</v>
      </c>
      <c r="G9" s="67">
        <v>4</v>
      </c>
      <c r="H9" s="67">
        <v>3</v>
      </c>
      <c r="I9" s="67">
        <v>4</v>
      </c>
      <c r="J9" s="67">
        <v>3</v>
      </c>
      <c r="K9" s="67">
        <v>4</v>
      </c>
      <c r="L9" s="80">
        <v>2</v>
      </c>
      <c r="M9" s="67">
        <v>4</v>
      </c>
      <c r="N9" s="67">
        <v>3</v>
      </c>
      <c r="O9" s="67">
        <v>4</v>
      </c>
      <c r="P9" s="67">
        <v>2</v>
      </c>
      <c r="Q9" s="67">
        <v>4</v>
      </c>
      <c r="R9" s="67">
        <v>3</v>
      </c>
      <c r="S9" s="69">
        <f>AVERAGE(F9:R9)</f>
        <v>3.3076923076923075</v>
      </c>
      <c r="T9" s="76"/>
      <c r="U9" s="34"/>
      <c r="V9" s="35"/>
      <c r="W9" s="36"/>
      <c r="X9" s="66"/>
      <c r="Y9" s="38"/>
    </row>
    <row r="10" spans="2:25" ht="39.950000000000003" customHeight="1" thickTop="1" thickBot="1">
      <c r="B10" s="50" t="s">
        <v>104</v>
      </c>
      <c r="C10" s="51"/>
      <c r="D10" s="51"/>
      <c r="E10" s="51"/>
      <c r="F10" s="51"/>
      <c r="G10" s="51"/>
      <c r="H10" s="51"/>
      <c r="I10" s="51"/>
      <c r="J10" s="51"/>
      <c r="K10" s="51"/>
      <c r="L10" s="40"/>
      <c r="M10" s="51"/>
      <c r="N10" s="51"/>
      <c r="O10" s="51"/>
      <c r="P10" s="51"/>
      <c r="Q10" s="51"/>
      <c r="R10" s="51"/>
      <c r="S10" s="69"/>
      <c r="T10" s="69">
        <f>AVERAGE(S11:S15)</f>
        <v>3.9121212121212117</v>
      </c>
      <c r="U10" s="32"/>
      <c r="V10" s="19"/>
      <c r="W10" s="19"/>
      <c r="X10" s="19"/>
      <c r="Y10" s="19"/>
    </row>
    <row r="11" spans="2:25" ht="41.45" customHeight="1" thickBot="1">
      <c r="B11" s="26"/>
      <c r="C11" s="27" t="s">
        <v>105</v>
      </c>
      <c r="D11" s="27" t="s">
        <v>106</v>
      </c>
      <c r="E11" s="39" t="s">
        <v>107</v>
      </c>
      <c r="F11" s="67">
        <v>4</v>
      </c>
      <c r="G11" s="67">
        <v>4</v>
      </c>
      <c r="H11" s="67">
        <v>4</v>
      </c>
      <c r="I11" s="67">
        <v>3</v>
      </c>
      <c r="J11" s="67">
        <v>4</v>
      </c>
      <c r="K11" s="67">
        <v>3</v>
      </c>
      <c r="L11" s="80">
        <v>3</v>
      </c>
      <c r="M11" s="67">
        <v>4</v>
      </c>
      <c r="N11" s="67">
        <v>4</v>
      </c>
      <c r="O11" s="67">
        <v>3</v>
      </c>
      <c r="P11" s="67">
        <v>4</v>
      </c>
      <c r="Q11" s="67">
        <v>5</v>
      </c>
      <c r="R11" s="67">
        <v>4</v>
      </c>
      <c r="S11" s="69">
        <f>+AVERAGE(F11:R11)</f>
        <v>3.7692307692307692</v>
      </c>
      <c r="T11" s="76"/>
      <c r="U11" s="33"/>
      <c r="V11" s="21"/>
      <c r="W11" s="17"/>
      <c r="X11" s="65"/>
      <c r="Y11" s="20"/>
    </row>
    <row r="12" spans="2:25" ht="48.95" customHeight="1" thickBot="1">
      <c r="B12" s="26"/>
      <c r="C12" s="27" t="s">
        <v>108</v>
      </c>
      <c r="D12" s="27" t="s">
        <v>109</v>
      </c>
      <c r="E12" s="39" t="s">
        <v>110</v>
      </c>
      <c r="F12" s="67">
        <v>2</v>
      </c>
      <c r="G12" s="67">
        <v>4</v>
      </c>
      <c r="H12" s="67">
        <v>3</v>
      </c>
      <c r="I12" s="67">
        <v>3</v>
      </c>
      <c r="J12" s="67">
        <v>2</v>
      </c>
      <c r="K12" s="67">
        <v>2</v>
      </c>
      <c r="L12" s="80">
        <v>4</v>
      </c>
      <c r="M12" s="67">
        <v>5</v>
      </c>
      <c r="N12" s="67">
        <v>4</v>
      </c>
      <c r="O12" s="67">
        <v>2</v>
      </c>
      <c r="P12" s="67">
        <v>4</v>
      </c>
      <c r="Q12" s="67">
        <v>3</v>
      </c>
      <c r="R12" s="67">
        <v>4</v>
      </c>
      <c r="S12" s="69">
        <f>+AVERAGE(F12:R12)</f>
        <v>3.2307692307692308</v>
      </c>
      <c r="T12" s="76"/>
      <c r="U12" s="33"/>
      <c r="V12" s="21"/>
      <c r="W12" s="17"/>
      <c r="X12" s="65"/>
      <c r="Y12" s="20"/>
    </row>
    <row r="13" spans="2:25" ht="41.45" customHeight="1" thickBot="1">
      <c r="B13" s="26"/>
      <c r="C13" s="27" t="s">
        <v>111</v>
      </c>
      <c r="D13" s="27" t="s">
        <v>112</v>
      </c>
      <c r="E13" s="39" t="s">
        <v>127</v>
      </c>
      <c r="F13" s="67">
        <v>3</v>
      </c>
      <c r="G13" s="67">
        <v>4</v>
      </c>
      <c r="H13" s="67">
        <v>4</v>
      </c>
      <c r="I13" s="67">
        <v>3</v>
      </c>
      <c r="J13" s="67"/>
      <c r="K13" s="67">
        <v>3</v>
      </c>
      <c r="L13" s="80">
        <v>4</v>
      </c>
      <c r="M13" s="67">
        <v>4</v>
      </c>
      <c r="N13" s="67">
        <v>4</v>
      </c>
      <c r="O13" s="67">
        <v>3</v>
      </c>
      <c r="P13" s="67">
        <v>4</v>
      </c>
      <c r="Q13" s="67">
        <v>4</v>
      </c>
      <c r="R13" s="67">
        <v>4</v>
      </c>
      <c r="S13" s="69">
        <f>+AVERAGE(F13:R13)</f>
        <v>3.6666666666666665</v>
      </c>
      <c r="T13" s="76"/>
      <c r="U13" s="58"/>
      <c r="V13" s="21"/>
      <c r="W13" s="17"/>
      <c r="X13" s="65"/>
      <c r="Y13" s="20"/>
    </row>
    <row r="14" spans="2:25" ht="41.45" customHeight="1" thickBot="1">
      <c r="B14" s="26"/>
      <c r="C14" s="27" t="s">
        <v>114</v>
      </c>
      <c r="D14" s="27" t="s">
        <v>115</v>
      </c>
      <c r="E14" s="39" t="s">
        <v>116</v>
      </c>
      <c r="F14" s="67">
        <v>4</v>
      </c>
      <c r="G14" s="67">
        <v>5</v>
      </c>
      <c r="H14" s="67">
        <v>5</v>
      </c>
      <c r="I14" s="67">
        <v>4</v>
      </c>
      <c r="J14" s="67"/>
      <c r="K14" s="67">
        <v>3</v>
      </c>
      <c r="L14" s="80">
        <v>4</v>
      </c>
      <c r="M14" s="67">
        <v>5</v>
      </c>
      <c r="N14" s="67">
        <v>4</v>
      </c>
      <c r="O14" s="67">
        <v>4</v>
      </c>
      <c r="P14" s="67">
        <v>3</v>
      </c>
      <c r="Q14" s="67">
        <v>5</v>
      </c>
      <c r="R14" s="67">
        <v>4</v>
      </c>
      <c r="S14" s="69">
        <f>+AVERAGE(F14:R14)</f>
        <v>4.166666666666667</v>
      </c>
      <c r="T14" s="77"/>
      <c r="U14" s="58"/>
      <c r="V14" s="21"/>
      <c r="W14" s="17"/>
      <c r="X14" s="65"/>
      <c r="Y14" s="20"/>
    </row>
    <row r="15" spans="2:25" ht="41.45" customHeight="1" thickBot="1">
      <c r="B15" s="41"/>
      <c r="C15" s="42" t="s">
        <v>117</v>
      </c>
      <c r="D15" s="43" t="s">
        <v>118</v>
      </c>
      <c r="E15" s="44" t="s">
        <v>119</v>
      </c>
      <c r="F15" s="67">
        <v>4</v>
      </c>
      <c r="G15" s="67">
        <v>4</v>
      </c>
      <c r="H15" s="67">
        <v>5</v>
      </c>
      <c r="I15" s="67">
        <v>4</v>
      </c>
      <c r="J15" s="67"/>
      <c r="K15" s="67">
        <v>5</v>
      </c>
      <c r="L15" s="80">
        <v>5</v>
      </c>
      <c r="M15" s="67"/>
      <c r="N15" s="67">
        <v>5</v>
      </c>
      <c r="O15" s="67">
        <v>5</v>
      </c>
      <c r="P15" s="67">
        <v>5</v>
      </c>
      <c r="Q15" s="67">
        <v>5</v>
      </c>
      <c r="R15" s="67">
        <v>5</v>
      </c>
      <c r="S15" s="70">
        <f>+AVERAGE(F15:R15)</f>
        <v>4.7272727272727275</v>
      </c>
      <c r="T15" s="78"/>
      <c r="U15" s="58"/>
      <c r="V15" s="21"/>
      <c r="W15" s="17"/>
      <c r="X15" s="65"/>
      <c r="Y15" s="20"/>
    </row>
    <row r="16" spans="2:25">
      <c r="H16" s="81" t="s">
        <v>147</v>
      </c>
    </row>
    <row r="17" spans="2:4" ht="18.600000000000001">
      <c r="B17" s="53" t="s">
        <v>120</v>
      </c>
    </row>
    <row r="18" spans="2:4" ht="15.95">
      <c r="B18" s="30" t="s">
        <v>121</v>
      </c>
    </row>
    <row r="19" spans="2:4" ht="18.600000000000001">
      <c r="B19" s="29"/>
    </row>
    <row r="20" spans="2:4" ht="45.95" customHeight="1">
      <c r="B20" s="51" t="str">
        <f>B4</f>
        <v xml:space="preserve">Valeur Business </v>
      </c>
      <c r="C20" s="75">
        <f>T4</f>
        <v>2.9384615384615378</v>
      </c>
      <c r="D20" s="64" t="str">
        <f>IF(C20&lt;2.5,"Faible",IF(AND(C20&gt;=2.5,C20&lt;4),"Moyen","Fort"))</f>
        <v>Moyen</v>
      </c>
    </row>
    <row r="21" spans="2:4" ht="45.95" customHeight="1">
      <c r="B21" s="51" t="str">
        <f>B10</f>
        <v>Maturité du Use Case</v>
      </c>
      <c r="C21" s="75">
        <f>T10</f>
        <v>3.9121212121212117</v>
      </c>
      <c r="D21" s="64" t="str">
        <f>IF(C21&lt;2.5,"Faible",IF(AND(C21&gt;=2.5,C21&lt;4),"Moyen","Fort"))</f>
        <v>Moyen</v>
      </c>
    </row>
    <row r="24" spans="2:4" ht="86.1" customHeight="1">
      <c r="B24" s="91" t="s">
        <v>136</v>
      </c>
      <c r="C24" s="91"/>
      <c r="D24" s="73"/>
    </row>
    <row r="26" spans="2:4" ht="18.600000000000001">
      <c r="B26" s="63" t="str">
        <f>IF(C20&lt;3,"Hors priorité",
   IF(AND(C20&gt;=4,C21&gt;=4),"Hackathon",
      IF(AND(C20&gt;=4,C21&lt;4),"Backlog projet",
         IF(AND(C20&gt;=3,C20&lt;4,C21&gt;=4),"Self AI (Copilot Studio)",
            "Backlog projet"
         )
      )
   )
)</f>
        <v>Hors priorité</v>
      </c>
    </row>
    <row r="28" spans="2:4">
      <c r="B28" s="18" t="s">
        <v>123</v>
      </c>
    </row>
    <row r="29" spans="2:4" ht="130.5">
      <c r="B29" s="62" t="s">
        <v>124</v>
      </c>
    </row>
  </sheetData>
  <mergeCells count="2">
    <mergeCell ref="C2:T2"/>
    <mergeCell ref="B24:C24"/>
  </mergeCells>
  <conditionalFormatting sqref="D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sqref="F11:R15 R6 F5:R5 F6:P6 F7:R9" xr:uid="{01995424-A751-476E-9920-4B653EAE24DE}">
      <formula1>0</formula1>
      <formula2>5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25B61-1492-4F61-9893-CA8AFCB1D72F}">
  <dimension ref="B1:Y29"/>
  <sheetViews>
    <sheetView showGridLines="0" zoomScale="40" zoomScaleNormal="40" workbookViewId="0">
      <pane xSplit="5" ySplit="3" topLeftCell="F4" activePane="bottomRight" state="frozen"/>
      <selection pane="bottomRight" activeCell="F22" sqref="F22"/>
      <selection pane="bottomLeft" activeCell="A4" sqref="A4"/>
      <selection pane="topRight" activeCell="F1" sqref="F1"/>
    </sheetView>
  </sheetViews>
  <sheetFormatPr defaultColWidth="10.7109375" defaultRowHeight="14.45"/>
  <cols>
    <col min="1" max="1" width="4" style="18" customWidth="1"/>
    <col min="2" max="2" width="25.5703125" style="18" customWidth="1"/>
    <col min="3" max="3" width="15" style="18" customWidth="1"/>
    <col min="4" max="4" width="47.28515625" style="18" customWidth="1"/>
    <col min="5" max="5" width="21.5703125" style="18" customWidth="1"/>
    <col min="6" max="11" width="18.42578125" style="18" customWidth="1"/>
    <col min="12" max="12" width="18.42578125" style="56" customWidth="1"/>
    <col min="13" max="18" width="18.42578125" style="18" customWidth="1"/>
    <col min="19" max="19" width="10.42578125" style="18" customWidth="1"/>
    <col min="20" max="20" width="15.28515625" style="18" customWidth="1"/>
    <col min="21" max="21" width="10.7109375" style="18" bestFit="1"/>
    <col min="22" max="22" width="15" style="18" customWidth="1"/>
    <col min="23" max="16384" width="10.7109375" style="18"/>
  </cols>
  <sheetData>
    <row r="1" spans="2:25" ht="15" thickBot="1"/>
    <row r="2" spans="2:25" ht="32.1" customHeight="1">
      <c r="B2" s="23" t="s">
        <v>148</v>
      </c>
      <c r="C2" s="92" t="s">
        <v>149</v>
      </c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31"/>
    </row>
    <row r="3" spans="2:25" ht="63.6" customHeight="1" thickBot="1">
      <c r="B3" s="25" t="s">
        <v>1</v>
      </c>
      <c r="C3" s="25" t="s">
        <v>2</v>
      </c>
      <c r="D3" s="25" t="s">
        <v>73</v>
      </c>
      <c r="E3" s="25" t="s">
        <v>74</v>
      </c>
      <c r="F3" s="25" t="s">
        <v>75</v>
      </c>
      <c r="G3" s="25" t="s">
        <v>76</v>
      </c>
      <c r="H3" s="25" t="s">
        <v>77</v>
      </c>
      <c r="I3" s="25" t="s">
        <v>78</v>
      </c>
      <c r="J3" s="25" t="s">
        <v>79</v>
      </c>
      <c r="K3" s="25" t="s">
        <v>80</v>
      </c>
      <c r="L3" s="25" t="s">
        <v>81</v>
      </c>
      <c r="M3" s="25" t="s">
        <v>82</v>
      </c>
      <c r="N3" s="25" t="s">
        <v>83</v>
      </c>
      <c r="O3" s="25" t="s">
        <v>84</v>
      </c>
      <c r="P3" s="25" t="s">
        <v>85</v>
      </c>
      <c r="Q3" s="25" t="s">
        <v>86</v>
      </c>
      <c r="R3" s="25" t="s">
        <v>87</v>
      </c>
      <c r="S3" s="25" t="s">
        <v>88</v>
      </c>
      <c r="T3" s="25" t="s">
        <v>89</v>
      </c>
      <c r="U3" s="31"/>
    </row>
    <row r="4" spans="2:25" ht="36.950000000000003" customHeight="1" thickTop="1" thickBot="1">
      <c r="B4" s="46" t="s">
        <v>90</v>
      </c>
      <c r="C4" s="47"/>
      <c r="D4" s="47"/>
      <c r="E4" s="47"/>
      <c r="F4" s="47"/>
      <c r="G4" s="47"/>
      <c r="H4" s="47"/>
      <c r="I4" s="47"/>
      <c r="J4" s="47"/>
      <c r="K4" s="47"/>
      <c r="L4" s="48"/>
      <c r="M4" s="47"/>
      <c r="N4" s="47"/>
      <c r="O4" s="47"/>
      <c r="P4" s="47"/>
      <c r="Q4" s="47"/>
      <c r="R4" s="47"/>
      <c r="S4" s="48"/>
      <c r="T4" s="71">
        <f>AVERAGE(S5:S9)</f>
        <v>4.2153846153846155</v>
      </c>
      <c r="U4" s="32"/>
      <c r="V4" s="19"/>
      <c r="W4" s="19"/>
      <c r="X4" s="19"/>
      <c r="Y4" s="19"/>
    </row>
    <row r="5" spans="2:25" ht="64.5" thickBot="1">
      <c r="B5" s="26"/>
      <c r="C5" s="27" t="s">
        <v>91</v>
      </c>
      <c r="D5" s="27" t="s">
        <v>92</v>
      </c>
      <c r="E5" s="39" t="s">
        <v>93</v>
      </c>
      <c r="F5" s="67">
        <v>4</v>
      </c>
      <c r="G5" s="67">
        <v>5</v>
      </c>
      <c r="H5" s="67">
        <v>5</v>
      </c>
      <c r="I5" s="67">
        <v>4</v>
      </c>
      <c r="J5" s="67">
        <v>4</v>
      </c>
      <c r="K5" s="67">
        <v>5</v>
      </c>
      <c r="L5" s="80">
        <v>5</v>
      </c>
      <c r="M5" s="67">
        <v>5</v>
      </c>
      <c r="N5" s="67">
        <v>4</v>
      </c>
      <c r="O5" s="67">
        <v>5</v>
      </c>
      <c r="P5" s="67">
        <v>4</v>
      </c>
      <c r="Q5" s="67">
        <v>5</v>
      </c>
      <c r="R5" s="67">
        <v>4</v>
      </c>
      <c r="S5" s="69">
        <f>AVERAGE(F5:R5)</f>
        <v>4.5384615384615383</v>
      </c>
      <c r="T5" s="76"/>
      <c r="U5" s="33"/>
      <c r="W5" s="17"/>
      <c r="X5" s="65"/>
      <c r="Y5" s="20"/>
    </row>
    <row r="6" spans="2:25" ht="48.6" thickBot="1">
      <c r="B6" s="26"/>
      <c r="C6" s="27" t="s">
        <v>41</v>
      </c>
      <c r="D6" s="27" t="s">
        <v>94</v>
      </c>
      <c r="E6" s="39" t="s">
        <v>95</v>
      </c>
      <c r="F6" s="67">
        <v>4</v>
      </c>
      <c r="G6" s="67">
        <v>5</v>
      </c>
      <c r="H6" s="67">
        <v>4</v>
      </c>
      <c r="I6" s="67">
        <v>4</v>
      </c>
      <c r="J6" s="67">
        <v>3</v>
      </c>
      <c r="K6" s="67">
        <v>3</v>
      </c>
      <c r="L6" s="80">
        <v>4</v>
      </c>
      <c r="M6" s="67">
        <v>5</v>
      </c>
      <c r="N6" s="67">
        <v>4</v>
      </c>
      <c r="O6" s="67">
        <v>4</v>
      </c>
      <c r="P6" s="67">
        <v>4</v>
      </c>
      <c r="Q6" s="67">
        <v>3</v>
      </c>
      <c r="R6" s="67">
        <v>3</v>
      </c>
      <c r="S6" s="69">
        <f>AVERAGE(F6:R6)</f>
        <v>3.8461538461538463</v>
      </c>
      <c r="T6" s="76"/>
      <c r="U6" s="33"/>
      <c r="W6" s="17"/>
      <c r="X6" s="65"/>
      <c r="Y6" s="20"/>
    </row>
    <row r="7" spans="2:25" ht="48.6" thickBot="1">
      <c r="B7" s="26"/>
      <c r="C7" s="27" t="s">
        <v>52</v>
      </c>
      <c r="D7" s="27" t="s">
        <v>96</v>
      </c>
      <c r="E7" s="39" t="s">
        <v>97</v>
      </c>
      <c r="F7" s="67">
        <v>5</v>
      </c>
      <c r="G7" s="67">
        <v>5</v>
      </c>
      <c r="H7" s="67">
        <v>5</v>
      </c>
      <c r="I7" s="67">
        <v>5</v>
      </c>
      <c r="J7" s="67">
        <v>5</v>
      </c>
      <c r="K7" s="67">
        <v>4</v>
      </c>
      <c r="L7" s="80">
        <v>5</v>
      </c>
      <c r="M7" s="67">
        <v>5</v>
      </c>
      <c r="N7" s="67">
        <v>5</v>
      </c>
      <c r="O7" s="67">
        <v>5</v>
      </c>
      <c r="P7" s="67">
        <v>3</v>
      </c>
      <c r="Q7" s="67">
        <v>3</v>
      </c>
      <c r="R7" s="67">
        <v>3</v>
      </c>
      <c r="S7" s="69">
        <f>AVERAGE(F7:R7)</f>
        <v>4.4615384615384617</v>
      </c>
      <c r="T7" s="76"/>
      <c r="U7" s="33"/>
      <c r="W7" s="17"/>
      <c r="X7" s="65"/>
      <c r="Y7" s="20"/>
    </row>
    <row r="8" spans="2:25" ht="48.6" thickBot="1">
      <c r="B8" s="26"/>
      <c r="C8" s="27" t="s">
        <v>98</v>
      </c>
      <c r="D8" s="27" t="s">
        <v>99</v>
      </c>
      <c r="E8" s="39" t="s">
        <v>100</v>
      </c>
      <c r="F8" s="67">
        <v>4</v>
      </c>
      <c r="G8" s="67">
        <v>4</v>
      </c>
      <c r="H8" s="67">
        <v>4</v>
      </c>
      <c r="I8" s="67">
        <v>4</v>
      </c>
      <c r="J8" s="67">
        <v>4</v>
      </c>
      <c r="K8" s="67">
        <v>4</v>
      </c>
      <c r="L8" s="80">
        <v>4</v>
      </c>
      <c r="M8" s="67">
        <v>4</v>
      </c>
      <c r="N8" s="67">
        <v>4</v>
      </c>
      <c r="O8" s="67">
        <v>5</v>
      </c>
      <c r="P8" s="67">
        <v>4</v>
      </c>
      <c r="Q8" s="67">
        <v>4</v>
      </c>
      <c r="R8" s="67">
        <v>4</v>
      </c>
      <c r="S8" s="69">
        <f>AVERAGE(F8:R8)</f>
        <v>4.0769230769230766</v>
      </c>
      <c r="T8" s="76"/>
      <c r="U8" s="33"/>
      <c r="V8" s="21"/>
      <c r="W8" s="17"/>
      <c r="X8" s="65"/>
      <c r="Y8" s="20"/>
    </row>
    <row r="9" spans="2:25" ht="64.5" thickBot="1">
      <c r="B9" s="26"/>
      <c r="C9" s="27" t="s">
        <v>101</v>
      </c>
      <c r="D9" s="27" t="s">
        <v>102</v>
      </c>
      <c r="E9" s="39" t="s">
        <v>103</v>
      </c>
      <c r="F9" s="67">
        <v>5</v>
      </c>
      <c r="G9" s="67">
        <v>5</v>
      </c>
      <c r="H9" s="67">
        <v>4</v>
      </c>
      <c r="I9" s="67">
        <v>4</v>
      </c>
      <c r="J9" s="67">
        <v>4</v>
      </c>
      <c r="K9" s="67">
        <v>4</v>
      </c>
      <c r="L9" s="80">
        <v>4</v>
      </c>
      <c r="M9" s="67">
        <v>5</v>
      </c>
      <c r="N9" s="67">
        <v>3</v>
      </c>
      <c r="O9" s="67">
        <v>4</v>
      </c>
      <c r="P9" s="67">
        <v>4</v>
      </c>
      <c r="Q9" s="67">
        <v>4</v>
      </c>
      <c r="R9" s="67">
        <v>4</v>
      </c>
      <c r="S9" s="69">
        <f>AVERAGE(F9:R9)</f>
        <v>4.1538461538461542</v>
      </c>
      <c r="T9" s="76"/>
      <c r="U9" s="34"/>
      <c r="V9" s="35"/>
      <c r="W9" s="36"/>
      <c r="X9" s="66"/>
      <c r="Y9" s="38"/>
    </row>
    <row r="10" spans="2:25" ht="39.950000000000003" customHeight="1" thickTop="1" thickBot="1">
      <c r="B10" s="50" t="s">
        <v>104</v>
      </c>
      <c r="C10" s="51"/>
      <c r="D10" s="51"/>
      <c r="E10" s="51"/>
      <c r="F10" s="51"/>
      <c r="G10" s="51"/>
      <c r="H10" s="51"/>
      <c r="I10" s="51"/>
      <c r="J10" s="51"/>
      <c r="K10" s="51"/>
      <c r="L10" s="40"/>
      <c r="M10" s="51"/>
      <c r="N10" s="51"/>
      <c r="O10" s="51"/>
      <c r="P10" s="51"/>
      <c r="Q10" s="51"/>
      <c r="R10" s="51"/>
      <c r="S10" s="69"/>
      <c r="T10" s="69">
        <f>AVERAGE(S11:S15)</f>
        <v>3.4730769230769227</v>
      </c>
      <c r="U10" s="32"/>
      <c r="V10" s="19"/>
      <c r="W10" s="19"/>
      <c r="X10" s="19"/>
      <c r="Y10" s="19"/>
    </row>
    <row r="11" spans="2:25" ht="54" customHeight="1" thickBot="1">
      <c r="B11" s="26"/>
      <c r="C11" s="27" t="s">
        <v>105</v>
      </c>
      <c r="D11" s="27" t="s">
        <v>106</v>
      </c>
      <c r="E11" s="39" t="s">
        <v>107</v>
      </c>
      <c r="F11" s="67">
        <v>3</v>
      </c>
      <c r="G11" s="67">
        <v>5</v>
      </c>
      <c r="H11" s="67">
        <v>4</v>
      </c>
      <c r="I11" s="67">
        <v>3</v>
      </c>
      <c r="J11" s="67">
        <v>5</v>
      </c>
      <c r="K11" s="67">
        <v>3</v>
      </c>
      <c r="L11" s="80">
        <v>4</v>
      </c>
      <c r="M11" s="67">
        <v>5</v>
      </c>
      <c r="N11" s="67">
        <v>4</v>
      </c>
      <c r="O11" s="67">
        <v>3</v>
      </c>
      <c r="P11" s="67">
        <v>2</v>
      </c>
      <c r="Q11" s="67">
        <v>2</v>
      </c>
      <c r="R11" s="67">
        <v>3</v>
      </c>
      <c r="S11" s="69">
        <f>+AVERAGE(F11:R11)</f>
        <v>3.5384615384615383</v>
      </c>
      <c r="T11" s="76"/>
      <c r="U11" s="33"/>
      <c r="V11" s="21"/>
      <c r="W11" s="17"/>
      <c r="X11" s="65"/>
      <c r="Y11" s="20"/>
    </row>
    <row r="12" spans="2:25" ht="64.5" thickBot="1">
      <c r="B12" s="26"/>
      <c r="C12" s="27" t="s">
        <v>108</v>
      </c>
      <c r="D12" s="27" t="s">
        <v>109</v>
      </c>
      <c r="E12" s="39" t="s">
        <v>110</v>
      </c>
      <c r="F12" s="67">
        <v>5</v>
      </c>
      <c r="G12" s="67">
        <v>4</v>
      </c>
      <c r="H12" s="67">
        <v>4</v>
      </c>
      <c r="I12" s="67">
        <v>5</v>
      </c>
      <c r="J12" s="67">
        <v>4</v>
      </c>
      <c r="K12" s="67">
        <v>4</v>
      </c>
      <c r="L12" s="80">
        <v>4</v>
      </c>
      <c r="M12" s="67">
        <v>4</v>
      </c>
      <c r="N12" s="67">
        <v>4</v>
      </c>
      <c r="O12" s="67">
        <v>4</v>
      </c>
      <c r="P12" s="67">
        <v>4</v>
      </c>
      <c r="Q12" s="67">
        <v>4</v>
      </c>
      <c r="R12" s="67">
        <v>3</v>
      </c>
      <c r="S12" s="69">
        <f>+AVERAGE(F12:R12)</f>
        <v>4.0769230769230766</v>
      </c>
      <c r="T12" s="76"/>
      <c r="U12" s="33"/>
      <c r="V12" s="21"/>
      <c r="W12" s="17"/>
      <c r="X12" s="65"/>
      <c r="Y12" s="20"/>
    </row>
    <row r="13" spans="2:25" ht="48.6" thickBot="1">
      <c r="B13" s="26"/>
      <c r="C13" s="27" t="s">
        <v>111</v>
      </c>
      <c r="D13" s="27" t="s">
        <v>112</v>
      </c>
      <c r="E13" s="39" t="s">
        <v>127</v>
      </c>
      <c r="F13" s="67">
        <v>1</v>
      </c>
      <c r="G13" s="67">
        <v>5</v>
      </c>
      <c r="H13" s="67">
        <v>2</v>
      </c>
      <c r="I13" s="67">
        <v>3</v>
      </c>
      <c r="J13" s="67"/>
      <c r="K13" s="67">
        <v>4</v>
      </c>
      <c r="L13" s="80">
        <v>2</v>
      </c>
      <c r="M13" s="67">
        <v>4</v>
      </c>
      <c r="N13" s="67">
        <v>4</v>
      </c>
      <c r="O13" s="67">
        <v>4</v>
      </c>
      <c r="P13" s="67">
        <v>4</v>
      </c>
      <c r="Q13" s="67">
        <v>3</v>
      </c>
      <c r="R13" s="67">
        <v>3</v>
      </c>
      <c r="S13" s="69">
        <f>+AVERAGE(F13:R13)</f>
        <v>3.25</v>
      </c>
      <c r="T13" s="76"/>
      <c r="U13" s="58"/>
      <c r="V13" s="21"/>
      <c r="W13" s="17"/>
      <c r="X13" s="65"/>
      <c r="Y13" s="20"/>
    </row>
    <row r="14" spans="2:25" ht="32.450000000000003" thickBot="1">
      <c r="B14" s="26"/>
      <c r="C14" s="27" t="s">
        <v>114</v>
      </c>
      <c r="D14" s="27" t="s">
        <v>115</v>
      </c>
      <c r="E14" s="39" t="s">
        <v>116</v>
      </c>
      <c r="F14" s="67">
        <v>2</v>
      </c>
      <c r="G14" s="67">
        <v>5</v>
      </c>
      <c r="H14" s="67">
        <v>1</v>
      </c>
      <c r="I14" s="67">
        <v>4</v>
      </c>
      <c r="J14" s="67"/>
      <c r="K14" s="67">
        <v>3</v>
      </c>
      <c r="L14" s="80">
        <v>1</v>
      </c>
      <c r="M14" s="67">
        <v>3</v>
      </c>
      <c r="N14" s="67">
        <v>3</v>
      </c>
      <c r="O14" s="67">
        <v>2</v>
      </c>
      <c r="P14" s="67">
        <v>4</v>
      </c>
      <c r="Q14" s="67">
        <v>2</v>
      </c>
      <c r="R14" s="67">
        <v>3</v>
      </c>
      <c r="S14" s="69">
        <f>+AVERAGE(F14:R14)</f>
        <v>2.75</v>
      </c>
      <c r="T14" s="77"/>
      <c r="U14" s="58"/>
      <c r="V14" s="21"/>
      <c r="W14" s="17"/>
      <c r="X14" s="65"/>
      <c r="Y14" s="20"/>
    </row>
    <row r="15" spans="2:25" ht="64.5" thickBot="1">
      <c r="B15" s="41"/>
      <c r="C15" s="42" t="s">
        <v>117</v>
      </c>
      <c r="D15" s="43" t="s">
        <v>118</v>
      </c>
      <c r="E15" s="44" t="s">
        <v>119</v>
      </c>
      <c r="F15" s="67">
        <v>3</v>
      </c>
      <c r="G15" s="67">
        <v>5</v>
      </c>
      <c r="H15" s="67">
        <v>3</v>
      </c>
      <c r="I15" s="67">
        <v>3</v>
      </c>
      <c r="J15" s="67"/>
      <c r="K15" s="67">
        <v>5</v>
      </c>
      <c r="L15" s="80">
        <v>3</v>
      </c>
      <c r="M15" s="67">
        <v>5</v>
      </c>
      <c r="N15" s="67">
        <v>3</v>
      </c>
      <c r="O15" s="67">
        <v>4</v>
      </c>
      <c r="P15" s="67">
        <v>4</v>
      </c>
      <c r="Q15" s="67">
        <v>3</v>
      </c>
      <c r="R15" s="67">
        <v>4</v>
      </c>
      <c r="S15" s="70">
        <f>+AVERAGE(F15:R15)</f>
        <v>3.75</v>
      </c>
      <c r="T15" s="78"/>
      <c r="U15" s="58"/>
      <c r="V15" s="21"/>
      <c r="W15" s="17"/>
      <c r="X15" s="65"/>
      <c r="Y15" s="20"/>
    </row>
    <row r="16" spans="2:25">
      <c r="T16" s="79"/>
    </row>
    <row r="17" spans="2:4" ht="18.600000000000001">
      <c r="B17" s="53" t="s">
        <v>120</v>
      </c>
    </row>
    <row r="18" spans="2:4" ht="15.95">
      <c r="B18" s="30" t="s">
        <v>121</v>
      </c>
    </row>
    <row r="19" spans="2:4" ht="18.600000000000001">
      <c r="B19" s="29"/>
    </row>
    <row r="20" spans="2:4" ht="45.95" customHeight="1">
      <c r="B20" s="51" t="str">
        <f>B4</f>
        <v xml:space="preserve">Valeur Business </v>
      </c>
      <c r="C20" s="75">
        <f>T4</f>
        <v>4.2153846153846155</v>
      </c>
      <c r="D20" s="64" t="str">
        <f>IF(C20&lt;2.5,"Faible",IF(AND(C20&gt;=2.5,C20&lt;4),"Moyen","Fort"))</f>
        <v>Fort</v>
      </c>
    </row>
    <row r="21" spans="2:4" ht="45.95" customHeight="1">
      <c r="B21" s="51" t="str">
        <f>B10</f>
        <v>Maturité du Use Case</v>
      </c>
      <c r="C21" s="75">
        <f>T10</f>
        <v>3.4730769230769227</v>
      </c>
      <c r="D21" s="64" t="str">
        <f>IF(C21&lt;2.5,"Faible",IF(AND(C21&gt;=2.5,C21&lt;4),"Moyen","Fort"))</f>
        <v>Moyen</v>
      </c>
    </row>
    <row r="24" spans="2:4" ht="96" customHeight="1">
      <c r="B24" s="91" t="s">
        <v>136</v>
      </c>
      <c r="C24" s="91"/>
      <c r="D24" s="73"/>
    </row>
    <row r="26" spans="2:4" ht="18.600000000000001">
      <c r="B26" s="63" t="str">
        <f>IF(C20&lt;3,"Hors priorité",
   IF(AND(C20&gt;=4,C21&gt;=4),"Hackathon",
      IF(AND(C20&gt;=4,C21&lt;4),"Backlog projet",
         IF(AND(C20&gt;=3,C20&lt;4,C21&gt;=4),"Self AI (Copilot Studio)",
            "Backlog projet"
         )
      )
   )
)</f>
        <v>Backlog projet</v>
      </c>
    </row>
    <row r="28" spans="2:4">
      <c r="B28" s="18" t="s">
        <v>123</v>
      </c>
    </row>
    <row r="29" spans="2:4" ht="174">
      <c r="B29" s="62" t="s">
        <v>124</v>
      </c>
    </row>
  </sheetData>
  <mergeCells count="2">
    <mergeCell ref="C2:T2"/>
    <mergeCell ref="B24:C24"/>
  </mergeCells>
  <conditionalFormatting sqref="D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sqref="F5:R9 F11:R15" xr:uid="{563C8794-1052-4D77-91D5-82D446B6C9A3}">
      <formula1>0</formula1>
      <formula2>5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763AE-1F8C-4420-AF85-284EF7443C94}">
  <dimension ref="B1:Y29"/>
  <sheetViews>
    <sheetView showGridLines="0" topLeftCell="B1" zoomScale="40" zoomScaleNormal="40" workbookViewId="0">
      <pane xSplit="4" ySplit="3" topLeftCell="F4" activePane="bottomRight" state="frozen"/>
      <selection pane="bottomRight" activeCell="J12" sqref="J12"/>
      <selection pane="bottomLeft" activeCell="B4" sqref="B4"/>
      <selection pane="topRight" activeCell="F1" sqref="F1"/>
    </sheetView>
  </sheetViews>
  <sheetFormatPr defaultColWidth="10.7109375" defaultRowHeight="14.45"/>
  <cols>
    <col min="1" max="1" width="4" style="18" customWidth="1"/>
    <col min="2" max="2" width="16.42578125" style="18" customWidth="1"/>
    <col min="3" max="3" width="16.28515625" style="18" customWidth="1"/>
    <col min="4" max="4" width="57.140625" style="18" customWidth="1"/>
    <col min="5" max="5" width="22" style="18" customWidth="1"/>
    <col min="6" max="6" width="18.42578125" style="18" customWidth="1"/>
    <col min="7" max="7" width="15" style="18" customWidth="1"/>
    <col min="8" max="11" width="18.42578125" style="18" customWidth="1"/>
    <col min="12" max="12" width="18.42578125" style="56" customWidth="1"/>
    <col min="13" max="18" width="18.42578125" style="18" customWidth="1"/>
    <col min="19" max="19" width="10.42578125" style="18" customWidth="1"/>
    <col min="20" max="20" width="15.28515625" style="18" customWidth="1"/>
    <col min="21" max="21" width="10.7109375" style="18" bestFit="1"/>
    <col min="22" max="22" width="15" style="18" customWidth="1"/>
    <col min="23" max="16384" width="10.7109375" style="18"/>
  </cols>
  <sheetData>
    <row r="1" spans="2:25" ht="15" thickBot="1"/>
    <row r="2" spans="2:25" ht="32.1" customHeight="1">
      <c r="B2" s="23" t="s">
        <v>150</v>
      </c>
      <c r="C2" s="92" t="s">
        <v>151</v>
      </c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31"/>
    </row>
    <row r="3" spans="2:25" ht="63.6" customHeight="1" thickBot="1">
      <c r="B3" s="25" t="s">
        <v>1</v>
      </c>
      <c r="C3" s="25" t="s">
        <v>2</v>
      </c>
      <c r="D3" s="25" t="s">
        <v>73</v>
      </c>
      <c r="E3" s="25" t="s">
        <v>74</v>
      </c>
      <c r="F3" s="25" t="s">
        <v>75</v>
      </c>
      <c r="G3" s="25" t="s">
        <v>76</v>
      </c>
      <c r="H3" s="25" t="s">
        <v>77</v>
      </c>
      <c r="I3" s="25" t="s">
        <v>78</v>
      </c>
      <c r="J3" s="25" t="s">
        <v>79</v>
      </c>
      <c r="K3" s="25" t="s">
        <v>80</v>
      </c>
      <c r="L3" s="25" t="s">
        <v>81</v>
      </c>
      <c r="M3" s="25" t="s">
        <v>82</v>
      </c>
      <c r="N3" s="25" t="s">
        <v>83</v>
      </c>
      <c r="O3" s="25" t="s">
        <v>84</v>
      </c>
      <c r="P3" s="25" t="s">
        <v>85</v>
      </c>
      <c r="Q3" s="25" t="s">
        <v>86</v>
      </c>
      <c r="R3" s="25" t="s">
        <v>87</v>
      </c>
      <c r="S3" s="25" t="s">
        <v>88</v>
      </c>
      <c r="T3" s="25" t="s">
        <v>89</v>
      </c>
      <c r="U3" s="31"/>
    </row>
    <row r="4" spans="2:25" ht="36.950000000000003" customHeight="1" thickTop="1" thickBot="1">
      <c r="B4" s="46" t="s">
        <v>90</v>
      </c>
      <c r="C4" s="47"/>
      <c r="D4" s="47"/>
      <c r="E4" s="47"/>
      <c r="F4" s="47"/>
      <c r="G4" s="47"/>
      <c r="H4" s="47"/>
      <c r="I4" s="47"/>
      <c r="J4" s="47"/>
      <c r="K4" s="47"/>
      <c r="L4" s="48"/>
      <c r="M4" s="47"/>
      <c r="N4" s="47"/>
      <c r="O4" s="47"/>
      <c r="P4" s="47"/>
      <c r="Q4" s="47"/>
      <c r="R4" s="47"/>
      <c r="S4" s="48"/>
      <c r="T4" s="71">
        <f>AVERAGE(S5:S9)</f>
        <v>3.4</v>
      </c>
      <c r="U4" s="32"/>
      <c r="V4" s="19"/>
      <c r="W4" s="19"/>
      <c r="X4" s="19"/>
      <c r="Y4" s="19"/>
    </row>
    <row r="5" spans="2:25" ht="64.5" thickBot="1">
      <c r="B5" s="26"/>
      <c r="C5" s="27" t="s">
        <v>91</v>
      </c>
      <c r="D5" s="27" t="s">
        <v>92</v>
      </c>
      <c r="E5" s="39" t="s">
        <v>93</v>
      </c>
      <c r="F5" s="67">
        <v>4</v>
      </c>
      <c r="G5" s="67">
        <v>5</v>
      </c>
      <c r="H5" s="67">
        <v>4</v>
      </c>
      <c r="I5" s="67">
        <v>4</v>
      </c>
      <c r="J5" s="67">
        <v>4</v>
      </c>
      <c r="K5" s="67">
        <v>4</v>
      </c>
      <c r="L5" s="80">
        <v>4</v>
      </c>
      <c r="M5" s="67">
        <v>5</v>
      </c>
      <c r="N5" s="67">
        <v>5</v>
      </c>
      <c r="O5" s="67">
        <v>4</v>
      </c>
      <c r="P5" s="67">
        <v>4</v>
      </c>
      <c r="Q5" s="67">
        <v>4</v>
      </c>
      <c r="R5" s="67">
        <v>4</v>
      </c>
      <c r="S5" s="69">
        <f>AVERAGE(F5:R5)</f>
        <v>4.2307692307692308</v>
      </c>
      <c r="T5" s="76"/>
      <c r="U5" s="33"/>
      <c r="W5" s="17"/>
      <c r="X5" s="65"/>
      <c r="Y5" s="20"/>
    </row>
    <row r="6" spans="2:25" ht="48.6" thickBot="1">
      <c r="B6" s="26"/>
      <c r="C6" s="27" t="s">
        <v>41</v>
      </c>
      <c r="D6" s="27" t="s">
        <v>94</v>
      </c>
      <c r="E6" s="39" t="s">
        <v>95</v>
      </c>
      <c r="F6" s="67">
        <v>2</v>
      </c>
      <c r="G6" s="67">
        <v>5</v>
      </c>
      <c r="H6" s="67">
        <v>2</v>
      </c>
      <c r="I6" s="67">
        <v>3</v>
      </c>
      <c r="J6" s="67">
        <v>3</v>
      </c>
      <c r="K6" s="67">
        <v>2</v>
      </c>
      <c r="L6" s="80">
        <v>3</v>
      </c>
      <c r="M6" s="67">
        <v>4</v>
      </c>
      <c r="N6" s="67">
        <v>2</v>
      </c>
      <c r="O6" s="67">
        <v>4</v>
      </c>
      <c r="P6" s="67">
        <v>2</v>
      </c>
      <c r="Q6" s="67">
        <v>4</v>
      </c>
      <c r="R6" s="67">
        <v>2</v>
      </c>
      <c r="S6" s="69">
        <f>AVERAGE(F6:R6)</f>
        <v>2.9230769230769229</v>
      </c>
      <c r="T6" s="76"/>
      <c r="U6" s="33"/>
      <c r="W6" s="17"/>
      <c r="X6" s="65"/>
      <c r="Y6" s="20"/>
    </row>
    <row r="7" spans="2:25" ht="48.6" thickBot="1">
      <c r="B7" s="26"/>
      <c r="C7" s="27" t="s">
        <v>52</v>
      </c>
      <c r="D7" s="27" t="s">
        <v>96</v>
      </c>
      <c r="E7" s="39" t="s">
        <v>97</v>
      </c>
      <c r="F7" s="67">
        <v>4</v>
      </c>
      <c r="G7" s="67">
        <v>5</v>
      </c>
      <c r="H7" s="67">
        <v>4</v>
      </c>
      <c r="I7" s="67">
        <v>5</v>
      </c>
      <c r="J7" s="67">
        <v>3</v>
      </c>
      <c r="K7" s="67">
        <v>4</v>
      </c>
      <c r="L7" s="80">
        <v>4</v>
      </c>
      <c r="M7" s="67">
        <v>5</v>
      </c>
      <c r="N7" s="67">
        <v>5</v>
      </c>
      <c r="O7" s="67">
        <v>4</v>
      </c>
      <c r="P7" s="67">
        <v>4</v>
      </c>
      <c r="Q7" s="67">
        <v>4</v>
      </c>
      <c r="R7" s="67">
        <v>4</v>
      </c>
      <c r="S7" s="69">
        <f>AVERAGE(F7:R7)</f>
        <v>4.2307692307692308</v>
      </c>
      <c r="T7" s="76"/>
      <c r="U7" s="33"/>
      <c r="W7" s="17"/>
      <c r="X7" s="65"/>
      <c r="Y7" s="20"/>
    </row>
    <row r="8" spans="2:25" ht="48.6" thickBot="1">
      <c r="B8" s="26"/>
      <c r="C8" s="27" t="s">
        <v>98</v>
      </c>
      <c r="D8" s="27" t="s">
        <v>99</v>
      </c>
      <c r="E8" s="39" t="s">
        <v>100</v>
      </c>
      <c r="F8" s="67">
        <v>2</v>
      </c>
      <c r="G8" s="67">
        <v>4</v>
      </c>
      <c r="H8" s="67">
        <v>2</v>
      </c>
      <c r="I8" s="67">
        <v>3</v>
      </c>
      <c r="J8" s="67">
        <v>4</v>
      </c>
      <c r="K8" s="67">
        <v>2</v>
      </c>
      <c r="L8" s="80">
        <v>2</v>
      </c>
      <c r="M8" s="67">
        <v>3</v>
      </c>
      <c r="N8" s="67">
        <v>3</v>
      </c>
      <c r="O8" s="67">
        <v>3</v>
      </c>
      <c r="P8" s="67">
        <v>2</v>
      </c>
      <c r="Q8" s="67">
        <v>2</v>
      </c>
      <c r="R8" s="67">
        <v>2</v>
      </c>
      <c r="S8" s="69">
        <f>AVERAGE(F8:R8)</f>
        <v>2.6153846153846154</v>
      </c>
      <c r="T8" s="76"/>
      <c r="U8" s="33"/>
      <c r="V8" s="21"/>
      <c r="W8" s="17"/>
      <c r="X8" s="65"/>
      <c r="Y8" s="20"/>
    </row>
    <row r="9" spans="2:25" ht="48.6" thickBot="1">
      <c r="B9" s="26"/>
      <c r="C9" s="27" t="s">
        <v>101</v>
      </c>
      <c r="D9" s="27" t="s">
        <v>102</v>
      </c>
      <c r="E9" s="39" t="s">
        <v>103</v>
      </c>
      <c r="F9" s="67">
        <v>4</v>
      </c>
      <c r="G9" s="67">
        <v>5</v>
      </c>
      <c r="H9" s="67">
        <v>1</v>
      </c>
      <c r="I9" s="67">
        <v>3</v>
      </c>
      <c r="J9" s="67">
        <v>3</v>
      </c>
      <c r="K9" s="67">
        <v>2</v>
      </c>
      <c r="L9" s="80">
        <v>3</v>
      </c>
      <c r="M9" s="67">
        <v>3</v>
      </c>
      <c r="N9" s="67">
        <v>2</v>
      </c>
      <c r="O9" s="67">
        <v>4</v>
      </c>
      <c r="P9" s="67">
        <v>3</v>
      </c>
      <c r="Q9" s="67">
        <v>3</v>
      </c>
      <c r="R9" s="67">
        <v>3</v>
      </c>
      <c r="S9" s="69">
        <f>AVERAGE(F9:R9)</f>
        <v>3</v>
      </c>
      <c r="T9" s="76"/>
      <c r="U9" s="34"/>
      <c r="V9" s="35"/>
      <c r="W9" s="36"/>
      <c r="X9" s="66"/>
      <c r="Y9" s="38"/>
    </row>
    <row r="10" spans="2:25" ht="39.950000000000003" customHeight="1" thickTop="1" thickBot="1">
      <c r="B10" s="50" t="s">
        <v>104</v>
      </c>
      <c r="C10" s="51"/>
      <c r="D10" s="51"/>
      <c r="E10" s="51"/>
      <c r="F10" s="51"/>
      <c r="G10" s="51"/>
      <c r="H10" s="51"/>
      <c r="I10" s="51"/>
      <c r="J10" s="51"/>
      <c r="K10" s="51"/>
      <c r="L10" s="40"/>
      <c r="M10" s="51"/>
      <c r="N10" s="51"/>
      <c r="O10" s="51"/>
      <c r="P10" s="51"/>
      <c r="Q10" s="51"/>
      <c r="R10" s="51"/>
      <c r="S10" s="69"/>
      <c r="T10" s="69">
        <f>AVERAGE(S11:S15)</f>
        <v>3.2862470862470863</v>
      </c>
      <c r="U10" s="32"/>
      <c r="V10" s="19"/>
      <c r="W10" s="19"/>
      <c r="X10" s="19"/>
      <c r="Y10" s="19"/>
    </row>
    <row r="11" spans="2:25" ht="41.45" customHeight="1" thickBot="1">
      <c r="B11" s="26"/>
      <c r="C11" s="27" t="s">
        <v>105</v>
      </c>
      <c r="D11" s="27" t="s">
        <v>106</v>
      </c>
      <c r="E11" s="39" t="s">
        <v>107</v>
      </c>
      <c r="F11" s="67">
        <v>5</v>
      </c>
      <c r="G11" s="67">
        <v>5</v>
      </c>
      <c r="H11" s="67">
        <v>5</v>
      </c>
      <c r="I11" s="67">
        <v>4</v>
      </c>
      <c r="J11" s="67">
        <v>4</v>
      </c>
      <c r="K11" s="67">
        <v>4</v>
      </c>
      <c r="L11" s="80">
        <v>5</v>
      </c>
      <c r="M11" s="67">
        <v>5</v>
      </c>
      <c r="N11" s="67">
        <v>5</v>
      </c>
      <c r="O11" s="67">
        <v>4</v>
      </c>
      <c r="P11" s="67">
        <v>4</v>
      </c>
      <c r="Q11" s="67">
        <v>5</v>
      </c>
      <c r="R11" s="67">
        <v>5</v>
      </c>
      <c r="S11" s="69">
        <f>+AVERAGE(F11:R11)</f>
        <v>4.615384615384615</v>
      </c>
      <c r="T11" s="76"/>
      <c r="U11" s="33"/>
      <c r="V11" s="21"/>
      <c r="W11" s="17"/>
      <c r="X11" s="65"/>
      <c r="Y11" s="20"/>
    </row>
    <row r="12" spans="2:25" ht="48.95" customHeight="1" thickBot="1">
      <c r="B12" s="26"/>
      <c r="C12" s="27" t="s">
        <v>108</v>
      </c>
      <c r="D12" s="27" t="s">
        <v>109</v>
      </c>
      <c r="E12" s="39" t="s">
        <v>110</v>
      </c>
      <c r="F12" s="67">
        <v>5</v>
      </c>
      <c r="G12" s="67">
        <v>5</v>
      </c>
      <c r="H12" s="67">
        <v>5</v>
      </c>
      <c r="I12" s="67">
        <v>4</v>
      </c>
      <c r="J12" s="67">
        <v>2</v>
      </c>
      <c r="K12" s="67">
        <v>3</v>
      </c>
      <c r="L12" s="80">
        <v>4</v>
      </c>
      <c r="M12" s="67">
        <v>4</v>
      </c>
      <c r="N12" s="67">
        <v>4</v>
      </c>
      <c r="O12" s="67">
        <v>3</v>
      </c>
      <c r="P12" s="67">
        <v>4</v>
      </c>
      <c r="Q12" s="67">
        <v>3</v>
      </c>
      <c r="R12" s="67">
        <v>4</v>
      </c>
      <c r="S12" s="69">
        <f>+AVERAGE(F12:R12)</f>
        <v>3.8461538461538463</v>
      </c>
      <c r="T12" s="76"/>
      <c r="U12" s="33"/>
      <c r="V12" s="21"/>
      <c r="W12" s="17"/>
      <c r="X12" s="65"/>
      <c r="Y12" s="20"/>
    </row>
    <row r="13" spans="2:25" ht="41.45" customHeight="1" thickBot="1">
      <c r="B13" s="26"/>
      <c r="C13" s="27" t="s">
        <v>111</v>
      </c>
      <c r="D13" s="27" t="s">
        <v>112</v>
      </c>
      <c r="E13" s="39" t="s">
        <v>127</v>
      </c>
      <c r="F13" s="67">
        <v>0</v>
      </c>
      <c r="G13" s="67">
        <v>5</v>
      </c>
      <c r="H13" s="67">
        <v>2</v>
      </c>
      <c r="I13" s="67">
        <v>4</v>
      </c>
      <c r="J13" s="67"/>
      <c r="K13" s="67">
        <v>4</v>
      </c>
      <c r="L13" s="80">
        <v>4</v>
      </c>
      <c r="M13" s="67">
        <v>4</v>
      </c>
      <c r="N13" s="67">
        <v>4</v>
      </c>
      <c r="O13" s="67">
        <v>3</v>
      </c>
      <c r="P13" s="67">
        <v>4</v>
      </c>
      <c r="Q13" s="67">
        <v>3</v>
      </c>
      <c r="R13" s="67">
        <v>3</v>
      </c>
      <c r="S13" s="69">
        <f>+AVERAGE(F13:R13)</f>
        <v>3.3333333333333335</v>
      </c>
      <c r="T13" s="76"/>
      <c r="U13" s="58"/>
      <c r="V13" s="21"/>
      <c r="W13" s="17"/>
      <c r="X13" s="65"/>
      <c r="Y13" s="20"/>
    </row>
    <row r="14" spans="2:25" ht="41.45" customHeight="1" thickBot="1">
      <c r="B14" s="26"/>
      <c r="C14" s="27" t="s">
        <v>114</v>
      </c>
      <c r="D14" s="27" t="s">
        <v>115</v>
      </c>
      <c r="E14" s="39" t="s">
        <v>116</v>
      </c>
      <c r="F14" s="67">
        <v>3</v>
      </c>
      <c r="G14" s="67">
        <v>4</v>
      </c>
      <c r="H14" s="67">
        <v>3</v>
      </c>
      <c r="I14" s="67">
        <v>3</v>
      </c>
      <c r="J14" s="67"/>
      <c r="K14" s="67">
        <v>3</v>
      </c>
      <c r="L14" s="80">
        <v>2</v>
      </c>
      <c r="M14" s="67">
        <v>3</v>
      </c>
      <c r="N14" s="67">
        <v>3</v>
      </c>
      <c r="O14" s="67">
        <v>3</v>
      </c>
      <c r="P14" s="67">
        <v>3</v>
      </c>
      <c r="Q14" s="67">
        <v>3</v>
      </c>
      <c r="R14" s="67">
        <v>3</v>
      </c>
      <c r="S14" s="69">
        <f>+AVERAGE(F14:R14)</f>
        <v>3</v>
      </c>
      <c r="T14" s="77"/>
      <c r="U14" s="58"/>
      <c r="V14" s="21"/>
      <c r="W14" s="17"/>
      <c r="X14" s="65"/>
      <c r="Y14" s="20"/>
    </row>
    <row r="15" spans="2:25" ht="48.6" thickBot="1">
      <c r="B15" s="41"/>
      <c r="C15" s="42" t="s">
        <v>117</v>
      </c>
      <c r="D15" s="43" t="s">
        <v>118</v>
      </c>
      <c r="E15" s="44" t="s">
        <v>119</v>
      </c>
      <c r="F15" s="67">
        <v>2</v>
      </c>
      <c r="G15" s="67">
        <v>4</v>
      </c>
      <c r="H15" s="67">
        <v>2</v>
      </c>
      <c r="I15" s="67">
        <v>2</v>
      </c>
      <c r="J15" s="67"/>
      <c r="K15" s="67">
        <v>3</v>
      </c>
      <c r="L15" s="80">
        <v>1</v>
      </c>
      <c r="M15" s="67"/>
      <c r="N15" s="67">
        <v>0</v>
      </c>
      <c r="O15" s="67">
        <v>1</v>
      </c>
      <c r="P15" s="67">
        <v>2</v>
      </c>
      <c r="Q15" s="67">
        <v>0</v>
      </c>
      <c r="R15" s="67">
        <v>1</v>
      </c>
      <c r="S15" s="70">
        <f>+AVERAGE(F15:R15)</f>
        <v>1.6363636363636365</v>
      </c>
      <c r="T15" s="78"/>
      <c r="U15" s="58"/>
      <c r="V15" s="21"/>
      <c r="W15" s="17"/>
      <c r="X15" s="65"/>
      <c r="Y15" s="20"/>
    </row>
    <row r="17" spans="2:4" ht="18.600000000000001">
      <c r="B17" s="53" t="s">
        <v>120</v>
      </c>
    </row>
    <row r="18" spans="2:4" ht="15.95">
      <c r="B18" s="30" t="s">
        <v>121</v>
      </c>
    </row>
    <row r="19" spans="2:4" ht="18.600000000000001">
      <c r="B19" s="29"/>
    </row>
    <row r="20" spans="2:4" ht="45.95" customHeight="1">
      <c r="B20" s="51" t="str">
        <f>B4</f>
        <v xml:space="preserve">Valeur Business </v>
      </c>
      <c r="C20" s="75">
        <f>T4</f>
        <v>3.4</v>
      </c>
      <c r="D20" s="64" t="str">
        <f>IF(C20&lt;2.5,"Faible",IF(AND(C20&gt;=2.5,C20&lt;4),"Moyen","Fort"))</f>
        <v>Moyen</v>
      </c>
    </row>
    <row r="21" spans="2:4" ht="45.95" customHeight="1">
      <c r="B21" s="51" t="str">
        <f>B10</f>
        <v>Maturité du Use Case</v>
      </c>
      <c r="C21" s="75">
        <f>T10</f>
        <v>3.2862470862470863</v>
      </c>
      <c r="D21" s="64" t="str">
        <f>IF(C21&lt;2.5,"Faible",IF(AND(C21&gt;=2.5,C21&lt;4),"Moyen","Fort"))</f>
        <v>Moyen</v>
      </c>
    </row>
    <row r="24" spans="2:4" ht="84.95" customHeight="1">
      <c r="B24" s="91" t="s">
        <v>136</v>
      </c>
      <c r="C24" s="91"/>
      <c r="D24" s="73"/>
    </row>
    <row r="26" spans="2:4" ht="18.600000000000001">
      <c r="B26" s="63" t="str">
        <f>IF(C20&lt;3,"Hors priorité",
   IF(AND(C20&gt;=4,C21&gt;=4),"Hackathon",
      IF(AND(C20&gt;=4,C21&lt;4),"Backlog projet",
         IF(AND(C20&gt;=3,C20&lt;4,C21&gt;=4),"Self AI (Copilot Studio)",
            "Backlog projet"
         )
      )
   )
)</f>
        <v>Backlog projet</v>
      </c>
    </row>
    <row r="28" spans="2:4">
      <c r="B28" s="18" t="s">
        <v>123</v>
      </c>
    </row>
    <row r="29" spans="2:4" ht="130.5">
      <c r="B29" s="62" t="s">
        <v>124</v>
      </c>
    </row>
  </sheetData>
  <mergeCells count="2">
    <mergeCell ref="C2:T2"/>
    <mergeCell ref="B24:C24"/>
  </mergeCells>
  <conditionalFormatting sqref="D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sqref="F11:R15 F5:R9" xr:uid="{8BD954C7-3D6F-4761-B2CB-138D533AF68B}">
      <formula1>0</formula1>
      <formula2>5</formula2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85545-9F46-40D0-8B2B-C21E9232FF50}">
  <dimension ref="B1:Y29"/>
  <sheetViews>
    <sheetView showGridLines="0" zoomScale="40" zoomScaleNormal="40" workbookViewId="0">
      <pane xSplit="5" ySplit="3" topLeftCell="F4" activePane="bottomRight" state="frozen"/>
      <selection pane="bottomRight" activeCell="H21" sqref="H21"/>
      <selection pane="bottomLeft" activeCell="A4" sqref="A4"/>
      <selection pane="topRight" activeCell="F1" sqref="F1"/>
    </sheetView>
  </sheetViews>
  <sheetFormatPr defaultColWidth="10.7109375" defaultRowHeight="14.45"/>
  <cols>
    <col min="1" max="1" width="4" style="18" customWidth="1"/>
    <col min="2" max="2" width="13.28515625" style="18" customWidth="1"/>
    <col min="3" max="3" width="13.42578125" style="18" customWidth="1"/>
    <col min="4" max="4" width="60.42578125" style="18" customWidth="1"/>
    <col min="5" max="5" width="24.42578125" style="18" customWidth="1"/>
    <col min="6" max="11" width="18.42578125" style="18" customWidth="1"/>
    <col min="12" max="12" width="18.42578125" style="56" customWidth="1"/>
    <col min="13" max="18" width="18.42578125" style="18" customWidth="1"/>
    <col min="19" max="19" width="10.42578125" style="18" customWidth="1"/>
    <col min="20" max="20" width="15.28515625" style="18" customWidth="1"/>
    <col min="21" max="21" width="10.7109375" style="18" bestFit="1"/>
    <col min="22" max="22" width="15" style="18" customWidth="1"/>
    <col min="23" max="16384" width="10.7109375" style="18"/>
  </cols>
  <sheetData>
    <row r="1" spans="2:25" ht="15" thickBot="1"/>
    <row r="2" spans="2:25" ht="32.1" customHeight="1">
      <c r="B2" s="23" t="s">
        <v>152</v>
      </c>
      <c r="C2" s="92" t="s">
        <v>153</v>
      </c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31"/>
    </row>
    <row r="3" spans="2:25" ht="63.6" customHeight="1" thickBot="1">
      <c r="B3" s="25" t="s">
        <v>1</v>
      </c>
      <c r="C3" s="25" t="s">
        <v>2</v>
      </c>
      <c r="D3" s="25" t="s">
        <v>73</v>
      </c>
      <c r="E3" s="25" t="s">
        <v>74</v>
      </c>
      <c r="F3" s="25" t="s">
        <v>75</v>
      </c>
      <c r="G3" s="25" t="s">
        <v>76</v>
      </c>
      <c r="H3" s="25" t="s">
        <v>77</v>
      </c>
      <c r="I3" s="25" t="s">
        <v>78</v>
      </c>
      <c r="J3" s="25" t="s">
        <v>79</v>
      </c>
      <c r="K3" s="25" t="s">
        <v>80</v>
      </c>
      <c r="L3" s="25" t="s">
        <v>81</v>
      </c>
      <c r="M3" s="25" t="s">
        <v>82</v>
      </c>
      <c r="N3" s="25" t="s">
        <v>83</v>
      </c>
      <c r="O3" s="25" t="s">
        <v>84</v>
      </c>
      <c r="P3" s="25" t="s">
        <v>85</v>
      </c>
      <c r="Q3" s="25" t="s">
        <v>86</v>
      </c>
      <c r="R3" s="25" t="s">
        <v>154</v>
      </c>
      <c r="S3" s="25" t="s">
        <v>88</v>
      </c>
      <c r="T3" s="25" t="s">
        <v>89</v>
      </c>
      <c r="U3" s="31"/>
    </row>
    <row r="4" spans="2:25" ht="36.950000000000003" customHeight="1" thickTop="1" thickBot="1">
      <c r="B4" s="46" t="s">
        <v>90</v>
      </c>
      <c r="C4" s="47"/>
      <c r="D4" s="47"/>
      <c r="E4" s="47"/>
      <c r="F4" s="47"/>
      <c r="G4" s="47"/>
      <c r="H4" s="47"/>
      <c r="I4" s="47"/>
      <c r="J4" s="47"/>
      <c r="K4" s="47"/>
      <c r="L4" s="48"/>
      <c r="M4" s="47"/>
      <c r="N4" s="47"/>
      <c r="O4" s="47"/>
      <c r="P4" s="47"/>
      <c r="Q4" s="47"/>
      <c r="R4" s="47"/>
      <c r="S4" s="48"/>
      <c r="T4" s="71">
        <f>AVERAGE(S5:S9)</f>
        <v>3.1076923076923082</v>
      </c>
      <c r="U4" s="32"/>
      <c r="V4" s="19"/>
      <c r="W4" s="19"/>
      <c r="X4" s="19"/>
      <c r="Y4" s="19"/>
    </row>
    <row r="5" spans="2:25" ht="64.5" thickBot="1">
      <c r="B5" s="26"/>
      <c r="C5" s="27" t="s">
        <v>91</v>
      </c>
      <c r="D5" s="27" t="s">
        <v>92</v>
      </c>
      <c r="E5" s="39" t="s">
        <v>93</v>
      </c>
      <c r="F5" s="67">
        <v>4</v>
      </c>
      <c r="G5" s="67">
        <v>3</v>
      </c>
      <c r="H5" s="67">
        <v>4</v>
      </c>
      <c r="I5" s="67">
        <v>3</v>
      </c>
      <c r="J5" s="80">
        <v>3</v>
      </c>
      <c r="K5" s="67">
        <v>5</v>
      </c>
      <c r="L5" s="80">
        <v>3</v>
      </c>
      <c r="M5" s="67">
        <v>4</v>
      </c>
      <c r="N5" s="67">
        <v>4</v>
      </c>
      <c r="O5" s="67">
        <v>4</v>
      </c>
      <c r="P5" s="67">
        <v>4</v>
      </c>
      <c r="Q5" s="67">
        <v>3</v>
      </c>
      <c r="R5" s="67">
        <v>4</v>
      </c>
      <c r="S5" s="69">
        <f>AVERAGE(F5:R5)</f>
        <v>3.6923076923076925</v>
      </c>
      <c r="T5" s="76"/>
      <c r="U5" s="33"/>
      <c r="W5" s="17"/>
      <c r="X5" s="65"/>
      <c r="Y5" s="20"/>
    </row>
    <row r="6" spans="2:25" ht="48.6" thickBot="1">
      <c r="B6" s="26"/>
      <c r="C6" s="27" t="s">
        <v>41</v>
      </c>
      <c r="D6" s="27" t="s">
        <v>94</v>
      </c>
      <c r="E6" s="39" t="s">
        <v>95</v>
      </c>
      <c r="F6" s="67">
        <v>2</v>
      </c>
      <c r="G6" s="67">
        <v>2</v>
      </c>
      <c r="H6" s="67">
        <v>3</v>
      </c>
      <c r="I6" s="67">
        <v>3</v>
      </c>
      <c r="J6" s="67">
        <v>3</v>
      </c>
      <c r="K6" s="67">
        <v>4</v>
      </c>
      <c r="L6" s="80">
        <v>2</v>
      </c>
      <c r="M6" s="67">
        <v>3</v>
      </c>
      <c r="N6" s="67">
        <v>2</v>
      </c>
      <c r="O6" s="67">
        <v>2</v>
      </c>
      <c r="P6" s="67">
        <v>4</v>
      </c>
      <c r="Q6" s="67">
        <v>2</v>
      </c>
      <c r="R6" s="67">
        <v>3</v>
      </c>
      <c r="S6" s="69">
        <f>AVERAGE(F6:R6)</f>
        <v>2.6923076923076925</v>
      </c>
      <c r="T6" s="76"/>
      <c r="U6" s="33"/>
      <c r="W6" s="17"/>
      <c r="X6" s="65"/>
      <c r="Y6" s="20"/>
    </row>
    <row r="7" spans="2:25" ht="48.6" thickBot="1">
      <c r="B7" s="26"/>
      <c r="C7" s="27" t="s">
        <v>52</v>
      </c>
      <c r="D7" s="27" t="s">
        <v>96</v>
      </c>
      <c r="E7" s="39" t="s">
        <v>97</v>
      </c>
      <c r="F7" s="67">
        <v>3</v>
      </c>
      <c r="G7" s="67">
        <v>2</v>
      </c>
      <c r="H7" s="67">
        <v>5</v>
      </c>
      <c r="I7" s="67">
        <v>5</v>
      </c>
      <c r="J7" s="67">
        <v>3</v>
      </c>
      <c r="K7" s="67">
        <v>4</v>
      </c>
      <c r="L7" s="80">
        <v>2</v>
      </c>
      <c r="M7" s="67">
        <v>4</v>
      </c>
      <c r="N7" s="67">
        <v>4</v>
      </c>
      <c r="O7" s="67">
        <v>3</v>
      </c>
      <c r="P7" s="67">
        <v>4</v>
      </c>
      <c r="Q7" s="67">
        <v>3</v>
      </c>
      <c r="R7" s="67">
        <v>4</v>
      </c>
      <c r="S7" s="69">
        <f>AVERAGE(F7:R7)</f>
        <v>3.5384615384615383</v>
      </c>
      <c r="T7" s="76"/>
      <c r="U7" s="33"/>
      <c r="W7" s="17"/>
      <c r="X7" s="65"/>
      <c r="Y7" s="20"/>
    </row>
    <row r="8" spans="2:25" ht="48.6" thickBot="1">
      <c r="B8" s="26"/>
      <c r="C8" s="27" t="s">
        <v>98</v>
      </c>
      <c r="D8" s="27" t="s">
        <v>99</v>
      </c>
      <c r="E8" s="39" t="s">
        <v>100</v>
      </c>
      <c r="F8" s="67">
        <v>2</v>
      </c>
      <c r="G8" s="67">
        <v>3</v>
      </c>
      <c r="H8" s="67">
        <v>3</v>
      </c>
      <c r="I8" s="67">
        <v>2</v>
      </c>
      <c r="J8" s="67">
        <v>2</v>
      </c>
      <c r="K8" s="67">
        <v>4</v>
      </c>
      <c r="L8" s="80">
        <v>1</v>
      </c>
      <c r="M8" s="67">
        <v>2</v>
      </c>
      <c r="N8" s="67">
        <v>2</v>
      </c>
      <c r="O8" s="67">
        <v>3</v>
      </c>
      <c r="P8" s="67">
        <v>3</v>
      </c>
      <c r="Q8" s="67">
        <v>2</v>
      </c>
      <c r="R8" s="67">
        <v>2</v>
      </c>
      <c r="S8" s="69">
        <f>AVERAGE(F8:R8)</f>
        <v>2.3846153846153846</v>
      </c>
      <c r="T8" s="76"/>
      <c r="U8" s="33"/>
      <c r="V8" s="21"/>
      <c r="W8" s="17"/>
      <c r="X8" s="65"/>
      <c r="Y8" s="20"/>
    </row>
    <row r="9" spans="2:25" ht="48.6" thickBot="1">
      <c r="B9" s="26"/>
      <c r="C9" s="27" t="s">
        <v>101</v>
      </c>
      <c r="D9" s="27" t="s">
        <v>102</v>
      </c>
      <c r="E9" s="39" t="s">
        <v>103</v>
      </c>
      <c r="F9" s="67">
        <v>3</v>
      </c>
      <c r="G9" s="67">
        <v>3</v>
      </c>
      <c r="H9" s="67">
        <v>3</v>
      </c>
      <c r="I9" s="67">
        <v>3</v>
      </c>
      <c r="J9" s="67">
        <v>2</v>
      </c>
      <c r="K9" s="67">
        <v>4</v>
      </c>
      <c r="L9" s="80">
        <v>2</v>
      </c>
      <c r="M9" s="67">
        <v>3</v>
      </c>
      <c r="N9" s="67">
        <v>3</v>
      </c>
      <c r="O9" s="67">
        <v>4</v>
      </c>
      <c r="P9" s="67">
        <v>4</v>
      </c>
      <c r="Q9" s="67">
        <v>4</v>
      </c>
      <c r="R9" s="67">
        <v>4</v>
      </c>
      <c r="S9" s="69">
        <f>AVERAGE(F9:R9)</f>
        <v>3.2307692307692308</v>
      </c>
      <c r="T9" s="76"/>
      <c r="U9" s="34"/>
      <c r="V9" s="35"/>
      <c r="W9" s="36"/>
      <c r="X9" s="66"/>
      <c r="Y9" s="38"/>
    </row>
    <row r="10" spans="2:25" ht="39.950000000000003" customHeight="1" thickTop="1" thickBot="1">
      <c r="B10" s="50" t="s">
        <v>104</v>
      </c>
      <c r="C10" s="51"/>
      <c r="D10" s="51"/>
      <c r="E10" s="51"/>
      <c r="F10" s="51"/>
      <c r="G10" s="51"/>
      <c r="H10" s="51"/>
      <c r="I10" s="51"/>
      <c r="J10" s="51"/>
      <c r="K10" s="51"/>
      <c r="L10" s="40"/>
      <c r="M10" s="51"/>
      <c r="N10" s="51"/>
      <c r="O10" s="51"/>
      <c r="P10" s="51"/>
      <c r="Q10" s="51"/>
      <c r="R10" s="51"/>
      <c r="S10" s="69"/>
      <c r="T10" s="69">
        <f>AVERAGE(S11:S15)</f>
        <v>3.9272727272727272</v>
      </c>
      <c r="U10" s="32"/>
      <c r="V10" s="19"/>
      <c r="W10" s="19"/>
      <c r="X10" s="19"/>
      <c r="Y10" s="19"/>
    </row>
    <row r="11" spans="2:25" ht="41.45" customHeight="1" thickBot="1">
      <c r="B11" s="26"/>
      <c r="C11" s="27" t="s">
        <v>105</v>
      </c>
      <c r="D11" s="27" t="s">
        <v>106</v>
      </c>
      <c r="E11" s="39" t="s">
        <v>107</v>
      </c>
      <c r="F11" s="67">
        <v>4</v>
      </c>
      <c r="G11" s="67">
        <v>3</v>
      </c>
      <c r="H11" s="67">
        <v>4</v>
      </c>
      <c r="I11" s="67">
        <v>4</v>
      </c>
      <c r="J11" s="67">
        <v>3</v>
      </c>
      <c r="K11" s="67">
        <v>5</v>
      </c>
      <c r="L11" s="80">
        <v>4</v>
      </c>
      <c r="M11" s="67">
        <v>4</v>
      </c>
      <c r="N11" s="67">
        <v>4</v>
      </c>
      <c r="O11" s="67">
        <v>4</v>
      </c>
      <c r="P11" s="67">
        <v>5</v>
      </c>
      <c r="Q11" s="67">
        <v>5</v>
      </c>
      <c r="R11" s="67">
        <v>5</v>
      </c>
      <c r="S11" s="69">
        <f>+AVERAGE(F11:R11)</f>
        <v>4.1538461538461542</v>
      </c>
      <c r="T11" s="76"/>
      <c r="U11" s="33"/>
      <c r="V11" s="21"/>
      <c r="W11" s="17"/>
      <c r="X11" s="65"/>
      <c r="Y11" s="20"/>
    </row>
    <row r="12" spans="2:25" ht="48.95" customHeight="1" thickBot="1">
      <c r="B12" s="26"/>
      <c r="C12" s="27" t="s">
        <v>108</v>
      </c>
      <c r="D12" s="27" t="s">
        <v>109</v>
      </c>
      <c r="E12" s="39" t="s">
        <v>110</v>
      </c>
      <c r="F12" s="67">
        <v>4</v>
      </c>
      <c r="G12" s="67">
        <v>3</v>
      </c>
      <c r="H12" s="67">
        <v>4</v>
      </c>
      <c r="I12" s="67">
        <v>4</v>
      </c>
      <c r="J12" s="67">
        <v>3</v>
      </c>
      <c r="K12" s="67">
        <v>4</v>
      </c>
      <c r="L12" s="80">
        <v>3</v>
      </c>
      <c r="M12" s="67">
        <v>3</v>
      </c>
      <c r="N12" s="67">
        <v>4</v>
      </c>
      <c r="O12" s="67">
        <v>4</v>
      </c>
      <c r="P12" s="67">
        <v>4</v>
      </c>
      <c r="Q12" s="67">
        <v>5</v>
      </c>
      <c r="R12" s="67">
        <v>5</v>
      </c>
      <c r="S12" s="69">
        <f>+AVERAGE(F12:R12)</f>
        <v>3.8461538461538463</v>
      </c>
      <c r="T12" s="76"/>
      <c r="U12" s="33"/>
      <c r="V12" s="21"/>
      <c r="W12" s="17"/>
      <c r="X12" s="65"/>
      <c r="Y12" s="20"/>
    </row>
    <row r="13" spans="2:25" ht="41.45" customHeight="1" thickBot="1">
      <c r="B13" s="26"/>
      <c r="C13" s="27" t="s">
        <v>111</v>
      </c>
      <c r="D13" s="27" t="s">
        <v>112</v>
      </c>
      <c r="E13" s="39" t="s">
        <v>127</v>
      </c>
      <c r="F13" s="67">
        <v>4</v>
      </c>
      <c r="G13" s="67">
        <v>2</v>
      </c>
      <c r="H13" s="67">
        <v>4</v>
      </c>
      <c r="I13" s="67">
        <v>4</v>
      </c>
      <c r="J13" s="67"/>
      <c r="K13" s="67">
        <v>4</v>
      </c>
      <c r="L13" s="80">
        <v>3</v>
      </c>
      <c r="M13" s="67">
        <v>3</v>
      </c>
      <c r="N13" s="67">
        <v>3</v>
      </c>
      <c r="O13" s="67">
        <v>4</v>
      </c>
      <c r="P13" s="67">
        <v>4</v>
      </c>
      <c r="Q13" s="67">
        <v>5</v>
      </c>
      <c r="R13" s="67">
        <v>3</v>
      </c>
      <c r="S13" s="69">
        <f>+AVERAGE(F13:R13)</f>
        <v>3.5833333333333335</v>
      </c>
      <c r="T13" s="76"/>
      <c r="U13" s="58"/>
      <c r="V13" s="21"/>
      <c r="W13" s="17"/>
      <c r="X13" s="65"/>
      <c r="Y13" s="20"/>
    </row>
    <row r="14" spans="2:25" ht="41.45" customHeight="1" thickBot="1">
      <c r="B14" s="26"/>
      <c r="C14" s="27" t="s">
        <v>114</v>
      </c>
      <c r="D14" s="27" t="s">
        <v>115</v>
      </c>
      <c r="E14" s="39" t="s">
        <v>116</v>
      </c>
      <c r="F14" s="67">
        <v>4</v>
      </c>
      <c r="G14" s="67">
        <v>3</v>
      </c>
      <c r="H14" s="67">
        <v>2</v>
      </c>
      <c r="I14" s="67">
        <v>3</v>
      </c>
      <c r="J14" s="67"/>
      <c r="K14" s="67">
        <v>4</v>
      </c>
      <c r="L14" s="80">
        <v>2</v>
      </c>
      <c r="M14" s="67">
        <v>3</v>
      </c>
      <c r="N14" s="67">
        <v>3</v>
      </c>
      <c r="O14" s="67">
        <v>4</v>
      </c>
      <c r="P14" s="67">
        <v>4</v>
      </c>
      <c r="Q14" s="67">
        <v>5</v>
      </c>
      <c r="R14" s="67">
        <v>4</v>
      </c>
      <c r="S14" s="69">
        <f>+AVERAGE(F14:R14)</f>
        <v>3.4166666666666665</v>
      </c>
      <c r="T14" s="77"/>
      <c r="U14" s="58"/>
      <c r="V14" s="21"/>
      <c r="W14" s="17"/>
      <c r="X14" s="65"/>
      <c r="Y14" s="20"/>
    </row>
    <row r="15" spans="2:25" ht="48.6" thickBot="1">
      <c r="B15" s="41"/>
      <c r="C15" s="42" t="s">
        <v>117</v>
      </c>
      <c r="D15" s="43" t="s">
        <v>118</v>
      </c>
      <c r="E15" s="44" t="s">
        <v>119</v>
      </c>
      <c r="F15" s="67">
        <v>5</v>
      </c>
      <c r="G15" s="67">
        <v>3</v>
      </c>
      <c r="H15" s="67">
        <v>5</v>
      </c>
      <c r="I15" s="67">
        <v>5</v>
      </c>
      <c r="J15" s="67"/>
      <c r="K15" s="67">
        <v>5</v>
      </c>
      <c r="L15" s="80">
        <v>5</v>
      </c>
      <c r="M15" s="67"/>
      <c r="N15" s="67">
        <v>4</v>
      </c>
      <c r="O15" s="67">
        <v>5</v>
      </c>
      <c r="P15" s="67">
        <v>5</v>
      </c>
      <c r="Q15" s="67">
        <v>5</v>
      </c>
      <c r="R15" s="67">
        <v>4</v>
      </c>
      <c r="S15" s="70">
        <f>+AVERAGE(F15:R15)</f>
        <v>4.6363636363636367</v>
      </c>
      <c r="T15" s="78"/>
      <c r="U15" s="58"/>
      <c r="V15" s="21"/>
      <c r="W15" s="17"/>
      <c r="X15" s="65"/>
      <c r="Y15" s="20"/>
    </row>
    <row r="16" spans="2:25">
      <c r="S16" s="79"/>
    </row>
    <row r="17" spans="2:4" ht="18.600000000000001">
      <c r="B17" s="53" t="s">
        <v>120</v>
      </c>
    </row>
    <row r="18" spans="2:4" ht="15.95">
      <c r="B18" s="30" t="s">
        <v>121</v>
      </c>
    </row>
    <row r="19" spans="2:4" ht="18.600000000000001">
      <c r="B19" s="29"/>
    </row>
    <row r="20" spans="2:4" ht="45.95" customHeight="1">
      <c r="B20" s="51" t="str">
        <f>B4</f>
        <v xml:space="preserve">Valeur Business </v>
      </c>
      <c r="C20" s="75">
        <f>T4</f>
        <v>3.1076923076923082</v>
      </c>
      <c r="D20" s="64" t="str">
        <f>IF(C20&lt;2.5,"Faible",IF(AND(C20&gt;=2.5,C20&lt;4),"Moyen","Fort"))</f>
        <v>Moyen</v>
      </c>
    </row>
    <row r="21" spans="2:4" ht="45.95" customHeight="1">
      <c r="B21" s="51" t="str">
        <f>B10</f>
        <v>Maturité du Use Case</v>
      </c>
      <c r="C21" s="75">
        <f>T10</f>
        <v>3.9272727272727272</v>
      </c>
      <c r="D21" s="64" t="str">
        <f>IF(C21&lt;2.5,"Faible",IF(AND(C21&gt;=2.5,C21&lt;4),"Moyen","Fort"))</f>
        <v>Moyen</v>
      </c>
    </row>
    <row r="24" spans="2:4" ht="95.1" customHeight="1">
      <c r="B24" s="91" t="s">
        <v>136</v>
      </c>
      <c r="C24" s="91"/>
      <c r="D24" s="73"/>
    </row>
    <row r="26" spans="2:4" ht="18.600000000000001">
      <c r="B26" s="63" t="str">
        <f>IF(C20&lt;3,"Hors priorité",
   IF(AND(C20&gt;=4,C21&gt;=4),"Hackathon",
      IF(AND(C20&gt;=4,C21&lt;4),"Backlog projet",
         IF(AND(C20&gt;=3,C20&lt;4,C21&gt;=4),"Self AI (Copilot Studio)",
            "Backlog projet"
         )
      )
   )
)</f>
        <v>Backlog projet</v>
      </c>
    </row>
    <row r="28" spans="2:4">
      <c r="B28" s="18" t="s">
        <v>123</v>
      </c>
    </row>
    <row r="29" spans="2:4" ht="130.5">
      <c r="B29" s="62" t="s">
        <v>124</v>
      </c>
    </row>
  </sheetData>
  <mergeCells count="2">
    <mergeCell ref="C2:T2"/>
    <mergeCell ref="B24:C24"/>
  </mergeCells>
  <conditionalFormatting sqref="D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sqref="F11:R15 F5:R9" xr:uid="{2B1660CE-47C0-4159-B784-08BCEC3591CC}">
      <formula1>0</formula1>
      <formula2>5</formula2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036FF-DC49-4332-8A70-7E5701658A7B}">
  <dimension ref="B1:Y29"/>
  <sheetViews>
    <sheetView showGridLines="0" zoomScale="40" zoomScaleNormal="40" workbookViewId="0">
      <pane xSplit="5" ySplit="3" topLeftCell="F4" activePane="bottomRight" state="frozen"/>
      <selection pane="bottomRight" activeCell="E21" sqref="E21"/>
      <selection pane="bottomLeft" activeCell="A4" sqref="A4"/>
      <selection pane="topRight" activeCell="F1" sqref="F1"/>
    </sheetView>
  </sheetViews>
  <sheetFormatPr defaultColWidth="10.7109375" defaultRowHeight="14.45"/>
  <cols>
    <col min="1" max="1" width="4" style="18" customWidth="1"/>
    <col min="2" max="2" width="14.42578125" style="18" customWidth="1"/>
    <col min="3" max="3" width="20.28515625" style="18" bestFit="1" customWidth="1"/>
    <col min="4" max="4" width="60.7109375" style="18" customWidth="1"/>
    <col min="5" max="5" width="24.7109375" style="18" customWidth="1"/>
    <col min="6" max="11" width="18.42578125" style="18" customWidth="1"/>
    <col min="12" max="12" width="18.42578125" style="56" customWidth="1"/>
    <col min="13" max="18" width="18.42578125" style="18" customWidth="1"/>
    <col min="19" max="19" width="10.42578125" style="18" customWidth="1"/>
    <col min="20" max="20" width="15.28515625" style="18" customWidth="1"/>
    <col min="21" max="21" width="10.7109375" style="18" bestFit="1"/>
    <col min="22" max="22" width="15" style="18" customWidth="1"/>
    <col min="23" max="16384" width="10.7109375" style="18"/>
  </cols>
  <sheetData>
    <row r="1" spans="2:25" ht="15" thickBot="1"/>
    <row r="2" spans="2:25" ht="32.1" customHeight="1">
      <c r="B2" s="23" t="s">
        <v>155</v>
      </c>
      <c r="C2" s="92" t="s">
        <v>156</v>
      </c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31"/>
    </row>
    <row r="3" spans="2:25" ht="63.6" customHeight="1" thickBot="1">
      <c r="B3" s="25" t="s">
        <v>1</v>
      </c>
      <c r="C3" s="25" t="s">
        <v>2</v>
      </c>
      <c r="D3" s="25" t="s">
        <v>73</v>
      </c>
      <c r="E3" s="25" t="s">
        <v>74</v>
      </c>
      <c r="F3" s="25" t="s">
        <v>75</v>
      </c>
      <c r="G3" s="25" t="s">
        <v>76</v>
      </c>
      <c r="H3" s="25" t="s">
        <v>77</v>
      </c>
      <c r="I3" s="25" t="s">
        <v>78</v>
      </c>
      <c r="J3" s="25" t="s">
        <v>79</v>
      </c>
      <c r="K3" s="25" t="s">
        <v>80</v>
      </c>
      <c r="L3" s="25" t="s">
        <v>81</v>
      </c>
      <c r="M3" s="25" t="s">
        <v>82</v>
      </c>
      <c r="N3" s="25" t="s">
        <v>83</v>
      </c>
      <c r="O3" s="25" t="s">
        <v>84</v>
      </c>
      <c r="P3" s="25" t="s">
        <v>85</v>
      </c>
      <c r="Q3" s="25" t="s">
        <v>86</v>
      </c>
      <c r="R3" s="25" t="s">
        <v>87</v>
      </c>
      <c r="S3" s="25" t="s">
        <v>88</v>
      </c>
      <c r="T3" s="25" t="s">
        <v>89</v>
      </c>
      <c r="U3" s="31"/>
    </row>
    <row r="4" spans="2:25" ht="33" thickTop="1" thickBot="1">
      <c r="B4" s="46" t="s">
        <v>90</v>
      </c>
      <c r="C4" s="47"/>
      <c r="D4" s="47"/>
      <c r="E4" s="47"/>
      <c r="F4" s="47"/>
      <c r="G4" s="47"/>
      <c r="H4" s="47"/>
      <c r="I4" s="47"/>
      <c r="J4" s="47"/>
      <c r="K4" s="47"/>
      <c r="L4" s="48"/>
      <c r="M4" s="47"/>
      <c r="N4" s="47"/>
      <c r="O4" s="47"/>
      <c r="P4" s="47"/>
      <c r="Q4" s="47"/>
      <c r="R4" s="47"/>
      <c r="S4" s="48"/>
      <c r="T4" s="71">
        <f>AVERAGE(S5:S9)</f>
        <v>4.1692307692307695</v>
      </c>
      <c r="U4" s="32"/>
      <c r="V4" s="19"/>
      <c r="W4" s="19"/>
      <c r="X4" s="19"/>
      <c r="Y4" s="19"/>
    </row>
    <row r="5" spans="2:25" ht="64.5" thickBot="1">
      <c r="B5" s="26"/>
      <c r="C5" s="27" t="s">
        <v>91</v>
      </c>
      <c r="D5" s="27" t="s">
        <v>92</v>
      </c>
      <c r="E5" s="39" t="s">
        <v>93</v>
      </c>
      <c r="F5" s="67">
        <v>5</v>
      </c>
      <c r="G5" s="67">
        <v>4</v>
      </c>
      <c r="H5" s="67">
        <v>5</v>
      </c>
      <c r="I5" s="67">
        <v>5</v>
      </c>
      <c r="J5" s="67">
        <v>5</v>
      </c>
      <c r="K5" s="67">
        <v>5</v>
      </c>
      <c r="L5" s="80">
        <v>5</v>
      </c>
      <c r="M5" s="67">
        <v>5</v>
      </c>
      <c r="N5" s="67">
        <v>5</v>
      </c>
      <c r="O5" s="67">
        <v>5</v>
      </c>
      <c r="P5" s="67">
        <v>5</v>
      </c>
      <c r="Q5" s="67">
        <v>5</v>
      </c>
      <c r="R5" s="67">
        <v>5</v>
      </c>
      <c r="S5" s="69">
        <f>AVERAGE(F5:R5)</f>
        <v>4.9230769230769234</v>
      </c>
      <c r="T5" s="76"/>
      <c r="U5" s="33"/>
      <c r="W5" s="17"/>
      <c r="X5" s="65"/>
      <c r="Y5" s="20"/>
    </row>
    <row r="6" spans="2:25" ht="49.5" customHeight="1" thickBot="1">
      <c r="B6" s="26"/>
      <c r="C6" s="27" t="s">
        <v>41</v>
      </c>
      <c r="D6" s="27" t="s">
        <v>94</v>
      </c>
      <c r="E6" s="39" t="s">
        <v>95</v>
      </c>
      <c r="F6" s="67">
        <v>4</v>
      </c>
      <c r="G6" s="67">
        <v>4</v>
      </c>
      <c r="H6" s="67">
        <v>4</v>
      </c>
      <c r="I6" s="67">
        <v>4</v>
      </c>
      <c r="J6" s="67">
        <v>5</v>
      </c>
      <c r="K6" s="67">
        <v>4</v>
      </c>
      <c r="L6" s="80">
        <v>4</v>
      </c>
      <c r="M6" s="67">
        <v>4</v>
      </c>
      <c r="N6" s="67">
        <v>4</v>
      </c>
      <c r="O6" s="67">
        <v>4</v>
      </c>
      <c r="P6" s="67">
        <v>4</v>
      </c>
      <c r="Q6" s="67">
        <v>5</v>
      </c>
      <c r="R6" s="67">
        <v>4</v>
      </c>
      <c r="S6" s="69">
        <f>AVERAGE(F6:R6)</f>
        <v>4.1538461538461542</v>
      </c>
      <c r="T6" s="76"/>
      <c r="U6" s="33"/>
      <c r="W6" s="17"/>
      <c r="X6" s="65"/>
      <c r="Y6" s="20"/>
    </row>
    <row r="7" spans="2:25" ht="48.6" thickBot="1">
      <c r="B7" s="26"/>
      <c r="C7" s="27" t="s">
        <v>52</v>
      </c>
      <c r="D7" s="27" t="s">
        <v>96</v>
      </c>
      <c r="E7" s="39" t="s">
        <v>97</v>
      </c>
      <c r="F7" s="67">
        <v>5</v>
      </c>
      <c r="G7" s="67">
        <v>5</v>
      </c>
      <c r="H7" s="67">
        <v>5</v>
      </c>
      <c r="I7" s="67">
        <v>5</v>
      </c>
      <c r="J7" s="67">
        <v>5</v>
      </c>
      <c r="K7" s="67">
        <v>4</v>
      </c>
      <c r="L7" s="80">
        <v>5</v>
      </c>
      <c r="M7" s="67">
        <v>4</v>
      </c>
      <c r="N7" s="67">
        <v>5</v>
      </c>
      <c r="O7" s="67">
        <v>4</v>
      </c>
      <c r="P7" s="67">
        <v>4</v>
      </c>
      <c r="Q7" s="67">
        <v>4</v>
      </c>
      <c r="R7" s="67">
        <v>4</v>
      </c>
      <c r="S7" s="69">
        <f>AVERAGE(F7:R7)</f>
        <v>4.5384615384615383</v>
      </c>
      <c r="T7" s="76"/>
      <c r="U7" s="33"/>
      <c r="W7" s="17"/>
      <c r="X7" s="65"/>
      <c r="Y7" s="20"/>
    </row>
    <row r="8" spans="2:25" ht="48.6" thickBot="1">
      <c r="B8" s="26"/>
      <c r="C8" s="27" t="s">
        <v>98</v>
      </c>
      <c r="D8" s="27" t="s">
        <v>99</v>
      </c>
      <c r="E8" s="39" t="s">
        <v>100</v>
      </c>
      <c r="F8" s="67">
        <v>4</v>
      </c>
      <c r="G8" s="67">
        <v>4</v>
      </c>
      <c r="H8" s="67">
        <v>5</v>
      </c>
      <c r="I8" s="67">
        <v>5</v>
      </c>
      <c r="J8" s="67">
        <v>4</v>
      </c>
      <c r="K8" s="67">
        <v>5</v>
      </c>
      <c r="L8" s="80">
        <v>3</v>
      </c>
      <c r="M8" s="67">
        <v>5</v>
      </c>
      <c r="N8" s="67">
        <v>4</v>
      </c>
      <c r="O8" s="67">
        <v>4</v>
      </c>
      <c r="P8" s="67">
        <v>4</v>
      </c>
      <c r="Q8" s="67">
        <v>3</v>
      </c>
      <c r="R8" s="67">
        <v>3</v>
      </c>
      <c r="S8" s="69">
        <f>AVERAGE(F8:R8)</f>
        <v>4.0769230769230766</v>
      </c>
      <c r="T8" s="76"/>
      <c r="U8" s="33"/>
      <c r="V8" s="21"/>
      <c r="W8" s="17"/>
      <c r="X8" s="65"/>
      <c r="Y8" s="20"/>
    </row>
    <row r="9" spans="2:25" ht="48.6" thickBot="1">
      <c r="B9" s="26"/>
      <c r="C9" s="27" t="s">
        <v>101</v>
      </c>
      <c r="D9" s="27" t="s">
        <v>102</v>
      </c>
      <c r="E9" s="39" t="s">
        <v>103</v>
      </c>
      <c r="F9" s="67">
        <v>4</v>
      </c>
      <c r="G9" s="67">
        <v>3</v>
      </c>
      <c r="H9" s="67">
        <v>3</v>
      </c>
      <c r="I9" s="67">
        <v>3</v>
      </c>
      <c r="J9" s="67">
        <v>4</v>
      </c>
      <c r="K9" s="67">
        <v>4</v>
      </c>
      <c r="L9" s="80">
        <v>3</v>
      </c>
      <c r="M9" s="67">
        <v>3</v>
      </c>
      <c r="N9" s="67">
        <v>3</v>
      </c>
      <c r="O9" s="67">
        <v>3</v>
      </c>
      <c r="P9" s="67">
        <v>3</v>
      </c>
      <c r="Q9" s="67">
        <v>2</v>
      </c>
      <c r="R9" s="67">
        <v>3</v>
      </c>
      <c r="S9" s="69">
        <f>AVERAGE(F9:R9)</f>
        <v>3.1538461538461537</v>
      </c>
      <c r="T9" s="76"/>
      <c r="U9" s="34"/>
      <c r="V9" s="35"/>
      <c r="W9" s="36"/>
      <c r="X9" s="66"/>
      <c r="Y9" s="38"/>
    </row>
    <row r="10" spans="2:25" ht="39.950000000000003" customHeight="1" thickTop="1" thickBot="1">
      <c r="B10" s="50" t="s">
        <v>104</v>
      </c>
      <c r="C10" s="51"/>
      <c r="D10" s="51"/>
      <c r="E10" s="51"/>
      <c r="F10" s="51"/>
      <c r="G10" s="51"/>
      <c r="H10" s="51"/>
      <c r="I10" s="51"/>
      <c r="J10" s="51"/>
      <c r="K10" s="51"/>
      <c r="L10" s="40"/>
      <c r="M10" s="51"/>
      <c r="N10" s="51"/>
      <c r="O10" s="51"/>
      <c r="P10" s="51"/>
      <c r="Q10" s="51"/>
      <c r="R10" s="51"/>
      <c r="S10" s="69"/>
      <c r="T10" s="69">
        <f>AVERAGE(S11:S15)</f>
        <v>4.063286713286713</v>
      </c>
      <c r="U10" s="32"/>
      <c r="V10" s="19"/>
      <c r="W10" s="19"/>
      <c r="X10" s="19"/>
      <c r="Y10" s="19"/>
    </row>
    <row r="11" spans="2:25" ht="32.450000000000003" thickBot="1">
      <c r="B11" s="26"/>
      <c r="C11" s="27" t="s">
        <v>105</v>
      </c>
      <c r="D11" s="27" t="s">
        <v>106</v>
      </c>
      <c r="E11" s="39" t="s">
        <v>107</v>
      </c>
      <c r="F11" s="67">
        <v>5</v>
      </c>
      <c r="G11" s="67">
        <v>4</v>
      </c>
      <c r="H11" s="67">
        <v>5</v>
      </c>
      <c r="I11" s="67">
        <v>5</v>
      </c>
      <c r="J11" s="67">
        <v>5</v>
      </c>
      <c r="K11" s="67">
        <v>5</v>
      </c>
      <c r="L11" s="80">
        <v>4</v>
      </c>
      <c r="M11" s="67">
        <v>5</v>
      </c>
      <c r="N11" s="67">
        <v>4</v>
      </c>
      <c r="O11" s="67">
        <v>4</v>
      </c>
      <c r="P11" s="67">
        <v>5</v>
      </c>
      <c r="Q11" s="67">
        <v>5</v>
      </c>
      <c r="R11" s="67">
        <v>4</v>
      </c>
      <c r="S11" s="69">
        <f>+AVERAGE(F11:R11)</f>
        <v>4.615384615384615</v>
      </c>
      <c r="T11" s="76"/>
      <c r="U11" s="33"/>
      <c r="V11" s="21"/>
      <c r="W11" s="17"/>
      <c r="X11" s="65"/>
      <c r="Y11" s="20"/>
    </row>
    <row r="12" spans="2:25" ht="48.6" thickBot="1">
      <c r="B12" s="26"/>
      <c r="C12" s="27" t="s">
        <v>108</v>
      </c>
      <c r="D12" s="27" t="s">
        <v>109</v>
      </c>
      <c r="E12" s="39" t="s">
        <v>110</v>
      </c>
      <c r="F12" s="67">
        <v>5</v>
      </c>
      <c r="G12" s="67">
        <v>4</v>
      </c>
      <c r="H12" s="67">
        <v>5</v>
      </c>
      <c r="I12" s="67">
        <v>5</v>
      </c>
      <c r="J12" s="67">
        <v>4</v>
      </c>
      <c r="K12" s="67">
        <v>5</v>
      </c>
      <c r="L12" s="80">
        <v>5</v>
      </c>
      <c r="M12" s="67">
        <v>5</v>
      </c>
      <c r="N12" s="67">
        <v>5</v>
      </c>
      <c r="O12" s="67">
        <v>5</v>
      </c>
      <c r="P12" s="67">
        <v>5</v>
      </c>
      <c r="Q12" s="67">
        <v>5</v>
      </c>
      <c r="R12" s="67">
        <v>4</v>
      </c>
      <c r="S12" s="69">
        <f>+AVERAGE(F12:R12)</f>
        <v>4.7692307692307692</v>
      </c>
      <c r="T12" s="76"/>
      <c r="U12" s="33"/>
      <c r="V12" s="21"/>
      <c r="W12" s="17"/>
      <c r="X12" s="65"/>
      <c r="Y12" s="20"/>
    </row>
    <row r="13" spans="2:25" ht="32.450000000000003" thickBot="1">
      <c r="B13" s="26"/>
      <c r="C13" s="27" t="s">
        <v>111</v>
      </c>
      <c r="D13" s="27" t="s">
        <v>112</v>
      </c>
      <c r="E13" s="39" t="s">
        <v>127</v>
      </c>
      <c r="F13" s="67">
        <v>3</v>
      </c>
      <c r="G13" s="67">
        <v>3</v>
      </c>
      <c r="H13" s="67">
        <v>4</v>
      </c>
      <c r="I13" s="67">
        <v>5</v>
      </c>
      <c r="J13" s="67"/>
      <c r="K13" s="67">
        <v>5</v>
      </c>
      <c r="L13" s="80">
        <v>5</v>
      </c>
      <c r="M13" s="67">
        <v>4</v>
      </c>
      <c r="N13" s="67">
        <v>4</v>
      </c>
      <c r="O13" s="67">
        <v>4</v>
      </c>
      <c r="P13" s="67">
        <v>4</v>
      </c>
      <c r="Q13" s="67">
        <v>5</v>
      </c>
      <c r="R13" s="67">
        <v>4</v>
      </c>
      <c r="S13" s="69">
        <f>+AVERAGE(F13:R13)</f>
        <v>4.166666666666667</v>
      </c>
      <c r="T13" s="76"/>
      <c r="U13" s="58"/>
      <c r="V13" s="21"/>
      <c r="W13" s="17"/>
      <c r="X13" s="65"/>
      <c r="Y13" s="20"/>
    </row>
    <row r="14" spans="2:25" ht="32.450000000000003" thickBot="1">
      <c r="B14" s="26"/>
      <c r="C14" s="27" t="s">
        <v>114</v>
      </c>
      <c r="D14" s="27" t="s">
        <v>115</v>
      </c>
      <c r="E14" s="39" t="s">
        <v>116</v>
      </c>
      <c r="F14" s="67">
        <v>1</v>
      </c>
      <c r="G14" s="67">
        <v>5</v>
      </c>
      <c r="H14" s="67">
        <v>1</v>
      </c>
      <c r="I14" s="67">
        <v>1</v>
      </c>
      <c r="J14" s="67"/>
      <c r="K14" s="67">
        <v>4</v>
      </c>
      <c r="L14" s="80">
        <v>4</v>
      </c>
      <c r="M14" s="67">
        <v>2</v>
      </c>
      <c r="N14" s="67">
        <v>2</v>
      </c>
      <c r="O14" s="67">
        <v>4</v>
      </c>
      <c r="P14" s="67">
        <v>4</v>
      </c>
      <c r="Q14" s="67">
        <v>1</v>
      </c>
      <c r="R14" s="67">
        <v>2</v>
      </c>
      <c r="S14" s="69">
        <f>+AVERAGE(F14:R14)</f>
        <v>2.5833333333333335</v>
      </c>
      <c r="T14" s="77"/>
      <c r="U14" s="58"/>
      <c r="V14" s="21"/>
      <c r="W14" s="17"/>
      <c r="X14" s="65"/>
      <c r="Y14" s="20"/>
    </row>
    <row r="15" spans="2:25" ht="48.6" thickBot="1">
      <c r="B15" s="41"/>
      <c r="C15" s="42" t="s">
        <v>117</v>
      </c>
      <c r="D15" s="43" t="s">
        <v>118</v>
      </c>
      <c r="E15" s="44" t="s">
        <v>119</v>
      </c>
      <c r="F15" s="67">
        <v>5</v>
      </c>
      <c r="G15" s="67">
        <v>4</v>
      </c>
      <c r="H15" s="67">
        <v>5</v>
      </c>
      <c r="I15" s="67">
        <v>5</v>
      </c>
      <c r="J15" s="67"/>
      <c r="K15" s="67">
        <v>5</v>
      </c>
      <c r="L15" s="80">
        <v>5</v>
      </c>
      <c r="M15" s="67"/>
      <c r="N15" s="67">
        <v>4</v>
      </c>
      <c r="O15" s="67">
        <v>3</v>
      </c>
      <c r="P15" s="67">
        <v>5</v>
      </c>
      <c r="Q15" s="67">
        <v>2</v>
      </c>
      <c r="R15" s="67">
        <v>3</v>
      </c>
      <c r="S15" s="70">
        <f>+AVERAGE(F15:R15)</f>
        <v>4.1818181818181817</v>
      </c>
      <c r="T15" s="78"/>
      <c r="U15" s="58"/>
      <c r="V15" s="21"/>
      <c r="W15" s="17"/>
      <c r="X15" s="65"/>
      <c r="Y15" s="20"/>
    </row>
    <row r="17" spans="2:4" ht="18.600000000000001">
      <c r="B17" s="53" t="s">
        <v>120</v>
      </c>
    </row>
    <row r="18" spans="2:4" ht="15.95">
      <c r="B18" s="30" t="s">
        <v>121</v>
      </c>
    </row>
    <row r="19" spans="2:4" ht="18.600000000000001">
      <c r="B19" s="29"/>
    </row>
    <row r="20" spans="2:4" ht="45.95" customHeight="1">
      <c r="B20" s="51" t="str">
        <f>B4</f>
        <v xml:space="preserve">Valeur Business </v>
      </c>
      <c r="C20" s="75">
        <f>T4</f>
        <v>4.1692307692307695</v>
      </c>
      <c r="D20" s="64" t="str">
        <f>IF(C20&lt;2.5,"Faible",IF(AND(C20&gt;=2.5,C20&lt;4),"Moyen","Fort"))</f>
        <v>Fort</v>
      </c>
    </row>
    <row r="21" spans="2:4" ht="45.95" customHeight="1">
      <c r="B21" s="51" t="str">
        <f>B10</f>
        <v>Maturité du Use Case</v>
      </c>
      <c r="C21" s="75">
        <f>T10</f>
        <v>4.063286713286713</v>
      </c>
      <c r="D21" s="64" t="str">
        <f>IF(C21&lt;2.5,"Faible",IF(AND(C21&gt;=2.5,C21&lt;4),"Moyen","Fort"))</f>
        <v>Fort</v>
      </c>
    </row>
    <row r="24" spans="2:4" ht="81" customHeight="1">
      <c r="B24" s="91" t="s">
        <v>136</v>
      </c>
      <c r="C24" s="91"/>
      <c r="D24" s="73"/>
    </row>
    <row r="26" spans="2:4" ht="18.600000000000001">
      <c r="B26" s="63" t="str">
        <f>IF(C20&lt;3,"Hors priorité",
   IF(AND(C20&gt;=4,C21&gt;=4),"Hackathon",
      IF(AND(C20&gt;=4,C21&lt;4),"Backlog projet",
         IF(AND(C20&gt;=3,C20&lt;4,C21&gt;=4),"Self AI (Copilot Studio)",
            "Backlog projet"
         )
      )
   )
)</f>
        <v>Hackathon</v>
      </c>
    </row>
    <row r="28" spans="2:4">
      <c r="B28" s="18" t="s">
        <v>123</v>
      </c>
    </row>
    <row r="29" spans="2:4" ht="130.5">
      <c r="B29" s="62" t="s">
        <v>124</v>
      </c>
    </row>
  </sheetData>
  <mergeCells count="2">
    <mergeCell ref="C2:T2"/>
    <mergeCell ref="B24:C24"/>
  </mergeCells>
  <conditionalFormatting sqref="D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sqref="F11:R15 F5:R9" xr:uid="{C0026628-7E09-4DE7-B198-3931E9F54DF6}">
      <formula1>0</formula1>
      <formula2>5</formula2>
    </dataValidation>
  </dataValidation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9D18-4EFF-4604-9594-4C8CF474A49A}">
  <dimension ref="B1:Y29"/>
  <sheetViews>
    <sheetView showGridLines="0" zoomScale="40" zoomScaleNormal="40" workbookViewId="0">
      <pane xSplit="5" ySplit="3" topLeftCell="F4" activePane="bottomRight" state="frozen"/>
      <selection pane="bottomRight" activeCell="F5" sqref="F5:F18"/>
      <selection pane="bottomLeft" activeCell="A4" sqref="A4"/>
      <selection pane="topRight" activeCell="F1" sqref="F1"/>
    </sheetView>
  </sheetViews>
  <sheetFormatPr defaultColWidth="10.7109375" defaultRowHeight="14.45"/>
  <cols>
    <col min="1" max="1" width="4" style="18" customWidth="1"/>
    <col min="2" max="2" width="12.140625" style="18" customWidth="1"/>
    <col min="3" max="3" width="14.85546875" style="18" customWidth="1"/>
    <col min="4" max="4" width="56.42578125" style="18" customWidth="1"/>
    <col min="5" max="5" width="28.7109375" style="18" customWidth="1"/>
    <col min="6" max="11" width="18.42578125" style="18" customWidth="1"/>
    <col min="12" max="12" width="18.42578125" style="56" customWidth="1"/>
    <col min="13" max="18" width="18.42578125" style="18" customWidth="1"/>
    <col min="19" max="19" width="10.42578125" style="18" customWidth="1"/>
    <col min="20" max="20" width="15.28515625" style="18" customWidth="1"/>
    <col min="21" max="21" width="10.7109375" style="18" bestFit="1"/>
    <col min="22" max="22" width="15" style="18" customWidth="1"/>
    <col min="23" max="16384" width="10.7109375" style="18"/>
  </cols>
  <sheetData>
    <row r="1" spans="2:25" ht="15" thickBot="1"/>
    <row r="2" spans="2:25" ht="32.1" customHeight="1">
      <c r="B2" s="23" t="s">
        <v>157</v>
      </c>
      <c r="C2" s="92" t="s">
        <v>158</v>
      </c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31"/>
    </row>
    <row r="3" spans="2:25" ht="63.6" customHeight="1" thickBot="1">
      <c r="B3" s="25" t="s">
        <v>1</v>
      </c>
      <c r="C3" s="25" t="s">
        <v>2</v>
      </c>
      <c r="D3" s="25" t="s">
        <v>73</v>
      </c>
      <c r="E3" s="25" t="s">
        <v>74</v>
      </c>
      <c r="F3" s="25" t="s">
        <v>75</v>
      </c>
      <c r="G3" s="25" t="s">
        <v>76</v>
      </c>
      <c r="H3" s="25" t="s">
        <v>77</v>
      </c>
      <c r="I3" s="25" t="s">
        <v>78</v>
      </c>
      <c r="J3" s="25" t="s">
        <v>79</v>
      </c>
      <c r="K3" s="25" t="s">
        <v>80</v>
      </c>
      <c r="L3" s="25" t="s">
        <v>81</v>
      </c>
      <c r="M3" s="25" t="s">
        <v>82</v>
      </c>
      <c r="N3" s="25" t="s">
        <v>83</v>
      </c>
      <c r="O3" s="25" t="s">
        <v>84</v>
      </c>
      <c r="P3" s="25" t="s">
        <v>85</v>
      </c>
      <c r="Q3" s="25" t="s">
        <v>159</v>
      </c>
      <c r="R3" s="25" t="s">
        <v>87</v>
      </c>
      <c r="S3" s="25" t="s">
        <v>88</v>
      </c>
      <c r="T3" s="25" t="s">
        <v>89</v>
      </c>
      <c r="U3" s="31"/>
    </row>
    <row r="4" spans="2:25" ht="36.950000000000003" customHeight="1" thickTop="1" thickBot="1">
      <c r="B4" s="46" t="s">
        <v>90</v>
      </c>
      <c r="C4" s="47"/>
      <c r="D4" s="47"/>
      <c r="E4" s="47"/>
      <c r="F4" s="47"/>
      <c r="G4" s="47"/>
      <c r="H4" s="47"/>
      <c r="I4" s="47"/>
      <c r="J4" s="47"/>
      <c r="K4" s="47"/>
      <c r="L4" s="48"/>
      <c r="M4" s="47"/>
      <c r="N4" s="47"/>
      <c r="O4" s="47"/>
      <c r="P4" s="47"/>
      <c r="Q4" s="47"/>
      <c r="R4" s="47"/>
      <c r="S4" s="48"/>
      <c r="T4" s="71">
        <f>AVERAGE(S5:S9)</f>
        <v>3.4307692307692315</v>
      </c>
      <c r="U4" s="32"/>
      <c r="V4" s="19"/>
      <c r="W4" s="19"/>
      <c r="X4" s="19"/>
      <c r="Y4" s="19"/>
    </row>
    <row r="5" spans="2:25" ht="48.6" thickBot="1">
      <c r="B5" s="26"/>
      <c r="C5" s="27" t="s">
        <v>91</v>
      </c>
      <c r="D5" s="27" t="s">
        <v>92</v>
      </c>
      <c r="E5" s="39" t="s">
        <v>93</v>
      </c>
      <c r="F5" s="67">
        <v>4</v>
      </c>
      <c r="G5" s="67">
        <v>4</v>
      </c>
      <c r="H5" s="67">
        <v>5</v>
      </c>
      <c r="I5" s="67">
        <v>5</v>
      </c>
      <c r="J5" s="67">
        <v>3</v>
      </c>
      <c r="K5" s="67">
        <v>4</v>
      </c>
      <c r="L5" s="80">
        <v>4</v>
      </c>
      <c r="M5" s="67">
        <v>4</v>
      </c>
      <c r="N5" s="67">
        <v>3</v>
      </c>
      <c r="O5" s="67">
        <v>5</v>
      </c>
      <c r="P5" s="67">
        <v>5</v>
      </c>
      <c r="Q5" s="67">
        <v>4</v>
      </c>
      <c r="R5" s="67">
        <v>5</v>
      </c>
      <c r="S5" s="69">
        <f>AVERAGE(F5:R5)</f>
        <v>4.2307692307692308</v>
      </c>
      <c r="T5" s="76"/>
      <c r="U5" s="33"/>
      <c r="W5" s="17"/>
      <c r="X5" s="65"/>
      <c r="Y5" s="20"/>
    </row>
    <row r="6" spans="2:25" ht="48.6" thickBot="1">
      <c r="B6" s="26"/>
      <c r="C6" s="27" t="s">
        <v>41</v>
      </c>
      <c r="D6" s="27" t="s">
        <v>94</v>
      </c>
      <c r="E6" s="39" t="s">
        <v>95</v>
      </c>
      <c r="F6" s="67">
        <v>2</v>
      </c>
      <c r="G6" s="67">
        <v>2</v>
      </c>
      <c r="H6" s="67">
        <v>3</v>
      </c>
      <c r="I6" s="67">
        <v>2</v>
      </c>
      <c r="J6" s="67">
        <v>3</v>
      </c>
      <c r="K6" s="67">
        <v>5</v>
      </c>
      <c r="L6" s="80">
        <v>2</v>
      </c>
      <c r="M6" s="67">
        <v>3</v>
      </c>
      <c r="N6" s="67">
        <v>3</v>
      </c>
      <c r="O6" s="67">
        <v>3</v>
      </c>
      <c r="P6" s="67">
        <v>4</v>
      </c>
      <c r="Q6" s="67">
        <v>3</v>
      </c>
      <c r="R6" s="67">
        <v>3</v>
      </c>
      <c r="S6" s="69">
        <f>AVERAGE(F6:R6)</f>
        <v>2.9230769230769229</v>
      </c>
      <c r="T6" s="76"/>
      <c r="U6" s="33"/>
      <c r="W6" s="17"/>
      <c r="X6" s="65"/>
      <c r="Y6" s="20"/>
    </row>
    <row r="7" spans="2:25" ht="32.450000000000003" thickBot="1">
      <c r="B7" s="26"/>
      <c r="C7" s="27" t="s">
        <v>52</v>
      </c>
      <c r="D7" s="27" t="s">
        <v>96</v>
      </c>
      <c r="E7" s="39" t="s">
        <v>97</v>
      </c>
      <c r="F7" s="67">
        <v>4</v>
      </c>
      <c r="G7" s="67">
        <v>3</v>
      </c>
      <c r="H7" s="67">
        <v>5</v>
      </c>
      <c r="I7" s="67">
        <v>4</v>
      </c>
      <c r="J7" s="67">
        <v>3</v>
      </c>
      <c r="K7" s="67">
        <v>4</v>
      </c>
      <c r="L7" s="80">
        <v>4</v>
      </c>
      <c r="M7" s="67">
        <v>4</v>
      </c>
      <c r="N7" s="67">
        <v>4</v>
      </c>
      <c r="O7" s="67">
        <v>3</v>
      </c>
      <c r="P7" s="67">
        <v>4</v>
      </c>
      <c r="Q7" s="67">
        <v>2</v>
      </c>
      <c r="R7" s="67">
        <v>4</v>
      </c>
      <c r="S7" s="69">
        <f>AVERAGE(F7:R7)</f>
        <v>3.6923076923076925</v>
      </c>
      <c r="T7" s="76"/>
      <c r="U7" s="33"/>
      <c r="W7" s="17"/>
      <c r="X7" s="65"/>
      <c r="Y7" s="20"/>
    </row>
    <row r="8" spans="2:25" ht="32.450000000000003" thickBot="1">
      <c r="B8" s="26"/>
      <c r="C8" s="27" t="s">
        <v>98</v>
      </c>
      <c r="D8" s="27" t="s">
        <v>99</v>
      </c>
      <c r="E8" s="39" t="s">
        <v>100</v>
      </c>
      <c r="F8" s="67">
        <v>3</v>
      </c>
      <c r="G8" s="67">
        <v>3</v>
      </c>
      <c r="H8" s="67">
        <v>5</v>
      </c>
      <c r="I8" s="67">
        <v>4</v>
      </c>
      <c r="J8" s="67">
        <v>3</v>
      </c>
      <c r="K8" s="67">
        <v>4</v>
      </c>
      <c r="L8" s="80">
        <v>4</v>
      </c>
      <c r="M8" s="67">
        <v>4</v>
      </c>
      <c r="N8" s="67">
        <v>4</v>
      </c>
      <c r="O8" s="67">
        <v>4</v>
      </c>
      <c r="P8" s="67">
        <v>5</v>
      </c>
      <c r="Q8" s="67">
        <v>2</v>
      </c>
      <c r="R8" s="67">
        <v>3</v>
      </c>
      <c r="S8" s="69">
        <f>AVERAGE(F8:R8)</f>
        <v>3.6923076923076925</v>
      </c>
      <c r="T8" s="76"/>
      <c r="U8" s="33"/>
      <c r="V8" s="21"/>
      <c r="W8" s="17"/>
      <c r="X8" s="65"/>
      <c r="Y8" s="20"/>
    </row>
    <row r="9" spans="2:25" ht="69.599999999999994" customHeight="1" thickBot="1">
      <c r="B9" s="26"/>
      <c r="C9" s="27" t="s">
        <v>101</v>
      </c>
      <c r="D9" s="27" t="s">
        <v>102</v>
      </c>
      <c r="E9" s="39" t="s">
        <v>103</v>
      </c>
      <c r="F9" s="67">
        <v>4</v>
      </c>
      <c r="G9" s="67">
        <v>3</v>
      </c>
      <c r="H9" s="67">
        <v>2</v>
      </c>
      <c r="I9" s="67">
        <v>3</v>
      </c>
      <c r="J9" s="67">
        <v>3</v>
      </c>
      <c r="K9" s="67">
        <v>4</v>
      </c>
      <c r="L9" s="80">
        <v>3</v>
      </c>
      <c r="M9" s="67">
        <v>2</v>
      </c>
      <c r="N9" s="67">
        <v>2</v>
      </c>
      <c r="O9" s="67">
        <v>2</v>
      </c>
      <c r="P9" s="67">
        <v>2</v>
      </c>
      <c r="Q9" s="67">
        <v>2</v>
      </c>
      <c r="R9" s="67">
        <v>2</v>
      </c>
      <c r="S9" s="69">
        <f>AVERAGE(F9:R9)</f>
        <v>2.6153846153846154</v>
      </c>
      <c r="T9" s="76"/>
      <c r="U9" s="34"/>
      <c r="V9" s="35"/>
      <c r="W9" s="36"/>
      <c r="X9" s="66"/>
      <c r="Y9" s="38"/>
    </row>
    <row r="10" spans="2:25" ht="39.950000000000003" customHeight="1" thickTop="1" thickBot="1">
      <c r="B10" s="50" t="s">
        <v>104</v>
      </c>
      <c r="C10" s="51"/>
      <c r="D10" s="51"/>
      <c r="E10" s="51"/>
      <c r="F10" s="51"/>
      <c r="G10" s="51"/>
      <c r="H10" s="51"/>
      <c r="I10" s="51"/>
      <c r="J10" s="51"/>
      <c r="K10" s="51"/>
      <c r="L10" s="40"/>
      <c r="M10" s="51"/>
      <c r="N10" s="51"/>
      <c r="O10" s="51"/>
      <c r="P10" s="51"/>
      <c r="Q10" s="51"/>
      <c r="R10" s="51"/>
      <c r="S10" s="69"/>
      <c r="T10" s="69">
        <f>AVERAGE(S11:S15)</f>
        <v>3.2951048951048953</v>
      </c>
      <c r="U10" s="32"/>
      <c r="V10" s="19"/>
      <c r="W10" s="19"/>
      <c r="X10" s="19"/>
      <c r="Y10" s="19"/>
    </row>
    <row r="11" spans="2:25" ht="48.6" thickBot="1">
      <c r="B11" s="26"/>
      <c r="C11" s="27" t="s">
        <v>105</v>
      </c>
      <c r="D11" s="27" t="s">
        <v>106</v>
      </c>
      <c r="E11" s="39" t="s">
        <v>107</v>
      </c>
      <c r="F11" s="67">
        <v>3</v>
      </c>
      <c r="G11" s="67">
        <v>2</v>
      </c>
      <c r="H11" s="67">
        <v>4</v>
      </c>
      <c r="I11" s="67">
        <v>2</v>
      </c>
      <c r="J11" s="67">
        <v>2</v>
      </c>
      <c r="K11" s="67">
        <v>4</v>
      </c>
      <c r="L11" s="80">
        <v>2</v>
      </c>
      <c r="M11" s="67">
        <v>3</v>
      </c>
      <c r="N11" s="67">
        <v>3</v>
      </c>
      <c r="O11" s="67">
        <v>3</v>
      </c>
      <c r="P11" s="67">
        <v>4</v>
      </c>
      <c r="Q11" s="67">
        <v>3</v>
      </c>
      <c r="R11" s="67">
        <v>4</v>
      </c>
      <c r="S11" s="69">
        <f>+AVERAGE(F11:R11)</f>
        <v>3</v>
      </c>
      <c r="T11" s="76"/>
      <c r="U11" s="33"/>
      <c r="V11" s="21"/>
      <c r="W11" s="17"/>
      <c r="X11" s="65"/>
      <c r="Y11" s="20"/>
    </row>
    <row r="12" spans="2:25" ht="48.95" customHeight="1" thickBot="1">
      <c r="B12" s="26"/>
      <c r="C12" s="27" t="s">
        <v>108</v>
      </c>
      <c r="D12" s="27" t="s">
        <v>109</v>
      </c>
      <c r="E12" s="39" t="s">
        <v>110</v>
      </c>
      <c r="F12" s="67">
        <v>3</v>
      </c>
      <c r="G12" s="67">
        <v>3</v>
      </c>
      <c r="H12" s="67">
        <v>3</v>
      </c>
      <c r="I12" s="67">
        <v>4</v>
      </c>
      <c r="J12" s="67">
        <v>3</v>
      </c>
      <c r="K12" s="67">
        <v>4</v>
      </c>
      <c r="L12" s="80">
        <v>3</v>
      </c>
      <c r="M12" s="67">
        <v>3</v>
      </c>
      <c r="N12" s="67">
        <v>3</v>
      </c>
      <c r="O12" s="67">
        <v>4</v>
      </c>
      <c r="P12" s="67">
        <v>4</v>
      </c>
      <c r="Q12" s="67">
        <v>4</v>
      </c>
      <c r="R12" s="67">
        <v>3</v>
      </c>
      <c r="S12" s="69">
        <f>+AVERAGE(F12:R12)</f>
        <v>3.3846153846153846</v>
      </c>
      <c r="T12" s="76"/>
      <c r="U12" s="33"/>
      <c r="V12" s="21"/>
      <c r="W12" s="17"/>
      <c r="X12" s="65"/>
      <c r="Y12" s="20"/>
    </row>
    <row r="13" spans="2:25" ht="41.45" customHeight="1" thickBot="1">
      <c r="B13" s="26"/>
      <c r="C13" s="27" t="s">
        <v>111</v>
      </c>
      <c r="D13" s="27" t="s">
        <v>112</v>
      </c>
      <c r="E13" s="39" t="s">
        <v>127</v>
      </c>
      <c r="F13" s="67">
        <v>4</v>
      </c>
      <c r="G13" s="67">
        <v>3</v>
      </c>
      <c r="H13" s="67">
        <v>3</v>
      </c>
      <c r="I13" s="67">
        <v>2</v>
      </c>
      <c r="J13" s="67"/>
      <c r="K13" s="67">
        <v>4</v>
      </c>
      <c r="L13" s="80">
        <v>5</v>
      </c>
      <c r="M13" s="67"/>
      <c r="N13" s="67">
        <v>3</v>
      </c>
      <c r="O13" s="67">
        <v>3</v>
      </c>
      <c r="P13" s="67">
        <v>4</v>
      </c>
      <c r="Q13" s="67">
        <v>3</v>
      </c>
      <c r="R13" s="67">
        <v>3</v>
      </c>
      <c r="S13" s="69">
        <f>+AVERAGE(F13:R13)</f>
        <v>3.3636363636363638</v>
      </c>
      <c r="T13" s="76"/>
      <c r="U13" s="58"/>
      <c r="V13" s="21"/>
      <c r="W13" s="17"/>
      <c r="X13" s="65"/>
      <c r="Y13" s="20"/>
    </row>
    <row r="14" spans="2:25" ht="41.45" customHeight="1" thickBot="1">
      <c r="B14" s="26"/>
      <c r="C14" s="27" t="s">
        <v>114</v>
      </c>
      <c r="D14" s="27" t="s">
        <v>115</v>
      </c>
      <c r="E14" s="39" t="s">
        <v>116</v>
      </c>
      <c r="F14" s="67">
        <v>1</v>
      </c>
      <c r="G14" s="67">
        <v>3</v>
      </c>
      <c r="H14" s="67">
        <v>1</v>
      </c>
      <c r="I14" s="67">
        <v>1</v>
      </c>
      <c r="J14" s="67"/>
      <c r="K14" s="67">
        <v>4</v>
      </c>
      <c r="L14" s="80">
        <v>2</v>
      </c>
      <c r="M14" s="67"/>
      <c r="N14" s="67">
        <v>1</v>
      </c>
      <c r="O14" s="67">
        <v>3</v>
      </c>
      <c r="P14" s="67">
        <v>3</v>
      </c>
      <c r="Q14" s="67">
        <v>1</v>
      </c>
      <c r="R14" s="67">
        <v>2</v>
      </c>
      <c r="S14" s="69">
        <f>+AVERAGE(F14:R14)</f>
        <v>2</v>
      </c>
      <c r="T14" s="77"/>
      <c r="U14" s="58"/>
      <c r="V14" s="21"/>
      <c r="W14" s="17"/>
      <c r="X14" s="65"/>
      <c r="Y14" s="20"/>
    </row>
    <row r="15" spans="2:25" ht="48.6" thickBot="1">
      <c r="B15" s="41"/>
      <c r="C15" s="42" t="s">
        <v>117</v>
      </c>
      <c r="D15" s="43" t="s">
        <v>118</v>
      </c>
      <c r="E15" s="44" t="s">
        <v>119</v>
      </c>
      <c r="F15" s="67">
        <v>5</v>
      </c>
      <c r="G15" s="67">
        <v>3</v>
      </c>
      <c r="H15" s="67">
        <v>5</v>
      </c>
      <c r="I15" s="67">
        <v>5</v>
      </c>
      <c r="J15" s="67"/>
      <c r="K15" s="67">
        <v>5</v>
      </c>
      <c r="L15" s="80">
        <v>5</v>
      </c>
      <c r="M15" s="67"/>
      <c r="N15" s="67">
        <v>5</v>
      </c>
      <c r="O15" s="67">
        <v>5</v>
      </c>
      <c r="P15" s="67">
        <v>5</v>
      </c>
      <c r="Q15" s="67">
        <v>5</v>
      </c>
      <c r="R15" s="67">
        <v>4</v>
      </c>
      <c r="S15" s="70">
        <f>+AVERAGE(F15:R15)</f>
        <v>4.7272727272727275</v>
      </c>
      <c r="T15" s="78"/>
      <c r="U15" s="58"/>
      <c r="V15" s="21"/>
      <c r="W15" s="17"/>
      <c r="X15" s="65"/>
      <c r="Y15" s="20"/>
    </row>
    <row r="17" spans="2:4" ht="18.600000000000001">
      <c r="B17" s="53" t="s">
        <v>120</v>
      </c>
    </row>
    <row r="18" spans="2:4" ht="15.95">
      <c r="B18" s="30" t="s">
        <v>121</v>
      </c>
    </row>
    <row r="19" spans="2:4" ht="18.600000000000001">
      <c r="B19" s="29"/>
    </row>
    <row r="20" spans="2:4" ht="45.95" customHeight="1">
      <c r="B20" s="51" t="str">
        <f>B4</f>
        <v xml:space="preserve">Valeur Business </v>
      </c>
      <c r="C20" s="75">
        <f>T4</f>
        <v>3.4307692307692315</v>
      </c>
      <c r="D20" s="64" t="str">
        <f>IF(C20&lt;2.5,"Faible",IF(AND(C20&gt;=2.5,C20&lt;4),"Moyen","Fort"))</f>
        <v>Moyen</v>
      </c>
    </row>
    <row r="21" spans="2:4" ht="45.95" customHeight="1">
      <c r="B21" s="51" t="str">
        <f>B10</f>
        <v>Maturité du Use Case</v>
      </c>
      <c r="C21" s="75">
        <f>T10</f>
        <v>3.2951048951048953</v>
      </c>
      <c r="D21" s="64" t="str">
        <f>IF(C21&lt;2.5,"Faible",IF(AND(C21&gt;=2.5,C21&lt;4),"Moyen","Fort"))</f>
        <v>Moyen</v>
      </c>
    </row>
    <row r="24" spans="2:4" ht="98.45" customHeight="1">
      <c r="B24" s="91" t="s">
        <v>136</v>
      </c>
      <c r="C24" s="91"/>
      <c r="D24" s="73"/>
    </row>
    <row r="26" spans="2:4" ht="18.600000000000001">
      <c r="B26" s="63" t="str">
        <f>IF(C20&lt;3,"Hors priorité",
   IF(AND(C20&gt;=4,C21&gt;=4),"Hackathon",
      IF(AND(C20&gt;=4,C21&lt;4),"Backlog projet",
         IF(AND(C20&gt;=3,C20&lt;4,C21&gt;=4),"Self AI (Copilot Studio)",
            "Backlog projet"
         )
      )
   )
)</f>
        <v>Backlog projet</v>
      </c>
    </row>
    <row r="28" spans="2:4">
      <c r="B28" s="18" t="s">
        <v>123</v>
      </c>
    </row>
    <row r="29" spans="2:4" ht="130.5">
      <c r="B29" s="62" t="s">
        <v>124</v>
      </c>
    </row>
  </sheetData>
  <mergeCells count="2">
    <mergeCell ref="C2:T2"/>
    <mergeCell ref="B24:C24"/>
  </mergeCells>
  <conditionalFormatting sqref="D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sqref="F11:R15 F5:R9" xr:uid="{42AD4969-1BFA-4265-8D03-194BEA6A026F}">
      <formula1>0</formula1>
      <formula2>5</formula2>
    </dataValidation>
  </dataValidation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31A26-06C2-4F07-A6F8-1D6FF74E835D}">
  <dimension ref="B1:Y29"/>
  <sheetViews>
    <sheetView showGridLines="0" zoomScale="40" zoomScaleNormal="40" workbookViewId="0">
      <pane xSplit="5" ySplit="4" topLeftCell="F5" activePane="bottomRight" state="frozen"/>
      <selection pane="bottomRight" activeCell="F16" sqref="F16"/>
      <selection pane="bottomLeft" activeCell="A5" sqref="A5"/>
      <selection pane="topRight" activeCell="F1" sqref="F1"/>
    </sheetView>
  </sheetViews>
  <sheetFormatPr defaultColWidth="10.7109375" defaultRowHeight="14.45"/>
  <cols>
    <col min="1" max="1" width="4" style="18" customWidth="1"/>
    <col min="2" max="2" width="16.28515625" style="18" customWidth="1"/>
    <col min="3" max="3" width="17" style="18" customWidth="1"/>
    <col min="4" max="4" width="53.28515625" style="18" customWidth="1"/>
    <col min="5" max="5" width="26.7109375" style="18" customWidth="1"/>
    <col min="6" max="11" width="18.42578125" style="18" customWidth="1"/>
    <col min="12" max="12" width="18.42578125" style="56" customWidth="1"/>
    <col min="13" max="18" width="18.42578125" style="18" customWidth="1"/>
    <col min="19" max="19" width="10.42578125" style="18" customWidth="1"/>
    <col min="20" max="20" width="15.28515625" style="18" customWidth="1"/>
    <col min="21" max="21" width="10.7109375" style="18" bestFit="1"/>
    <col min="22" max="22" width="15" style="18" customWidth="1"/>
    <col min="23" max="16384" width="10.7109375" style="18"/>
  </cols>
  <sheetData>
    <row r="1" spans="2:25" ht="15" thickBot="1"/>
    <row r="2" spans="2:25" ht="32.1" customHeight="1">
      <c r="B2" s="23" t="s">
        <v>160</v>
      </c>
      <c r="C2" s="92" t="s">
        <v>161</v>
      </c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31"/>
    </row>
    <row r="3" spans="2:25" ht="63.6" customHeight="1" thickBot="1">
      <c r="B3" s="25" t="s">
        <v>1</v>
      </c>
      <c r="C3" s="25" t="s">
        <v>2</v>
      </c>
      <c r="D3" s="25" t="s">
        <v>73</v>
      </c>
      <c r="E3" s="25" t="s">
        <v>74</v>
      </c>
      <c r="F3" s="25" t="s">
        <v>75</v>
      </c>
      <c r="G3" s="25" t="s">
        <v>76</v>
      </c>
      <c r="H3" s="25" t="s">
        <v>77</v>
      </c>
      <c r="I3" s="25" t="s">
        <v>78</v>
      </c>
      <c r="J3" s="25" t="s">
        <v>79</v>
      </c>
      <c r="K3" s="25" t="s">
        <v>80</v>
      </c>
      <c r="L3" s="25" t="s">
        <v>81</v>
      </c>
      <c r="M3" s="25" t="s">
        <v>82</v>
      </c>
      <c r="N3" s="25" t="s">
        <v>83</v>
      </c>
      <c r="O3" s="25" t="s">
        <v>84</v>
      </c>
      <c r="P3" s="25" t="s">
        <v>85</v>
      </c>
      <c r="Q3" s="25" t="s">
        <v>86</v>
      </c>
      <c r="R3" s="25" t="s">
        <v>87</v>
      </c>
      <c r="S3" s="25" t="s">
        <v>88</v>
      </c>
      <c r="T3" s="25" t="s">
        <v>89</v>
      </c>
      <c r="U3" s="31"/>
    </row>
    <row r="4" spans="2:25" ht="36.950000000000003" customHeight="1" thickTop="1" thickBot="1">
      <c r="B4" s="46" t="s">
        <v>90</v>
      </c>
      <c r="C4" s="47"/>
      <c r="D4" s="47"/>
      <c r="E4" s="47"/>
      <c r="F4" s="47"/>
      <c r="G4" s="47"/>
      <c r="H4" s="47"/>
      <c r="I4" s="47"/>
      <c r="J4" s="47"/>
      <c r="K4" s="47"/>
      <c r="L4" s="48"/>
      <c r="M4" s="47"/>
      <c r="N4" s="47"/>
      <c r="O4" s="47"/>
      <c r="P4" s="47"/>
      <c r="Q4" s="47"/>
      <c r="R4" s="47"/>
      <c r="S4" s="48"/>
      <c r="T4" s="71">
        <f>AVERAGE(S5:S9)</f>
        <v>3.2615384615384615</v>
      </c>
      <c r="U4" s="32"/>
      <c r="V4" s="19"/>
      <c r="W4" s="19"/>
      <c r="X4" s="19"/>
      <c r="Y4" s="19"/>
    </row>
    <row r="5" spans="2:25" ht="37.5" customHeight="1" thickBot="1">
      <c r="B5" s="26"/>
      <c r="C5" s="27" t="s">
        <v>91</v>
      </c>
      <c r="D5" s="27" t="s">
        <v>92</v>
      </c>
      <c r="E5" s="39" t="s">
        <v>93</v>
      </c>
      <c r="F5" s="67">
        <v>4</v>
      </c>
      <c r="G5" s="67">
        <v>4</v>
      </c>
      <c r="H5" s="67">
        <v>5</v>
      </c>
      <c r="I5" s="67">
        <v>5</v>
      </c>
      <c r="J5" s="67">
        <v>4</v>
      </c>
      <c r="K5" s="67">
        <v>5</v>
      </c>
      <c r="L5" s="80">
        <v>5</v>
      </c>
      <c r="M5" s="67">
        <v>4</v>
      </c>
      <c r="N5" s="67">
        <v>4</v>
      </c>
      <c r="O5" s="67">
        <v>5</v>
      </c>
      <c r="P5" s="67">
        <v>5</v>
      </c>
      <c r="Q5" s="67">
        <v>3</v>
      </c>
      <c r="R5" s="67">
        <v>5</v>
      </c>
      <c r="S5" s="69">
        <f>AVERAGE(F5:R5)</f>
        <v>4.4615384615384617</v>
      </c>
      <c r="T5" s="76"/>
      <c r="U5" s="33"/>
      <c r="W5" s="17"/>
      <c r="X5" s="65"/>
      <c r="Y5" s="20"/>
    </row>
    <row r="6" spans="2:25" ht="37.5" customHeight="1" thickBot="1">
      <c r="B6" s="26"/>
      <c r="C6" s="27" t="s">
        <v>41</v>
      </c>
      <c r="D6" s="27" t="s">
        <v>94</v>
      </c>
      <c r="E6" s="39" t="s">
        <v>95</v>
      </c>
      <c r="F6" s="67">
        <v>2</v>
      </c>
      <c r="G6" s="67">
        <v>2</v>
      </c>
      <c r="H6" s="67">
        <v>3</v>
      </c>
      <c r="I6" s="67">
        <v>2</v>
      </c>
      <c r="J6" s="67">
        <v>3</v>
      </c>
      <c r="K6" s="67">
        <v>5</v>
      </c>
      <c r="L6" s="80">
        <v>3</v>
      </c>
      <c r="M6" s="67">
        <v>3</v>
      </c>
      <c r="N6" s="67">
        <v>2</v>
      </c>
      <c r="O6" s="67">
        <v>3</v>
      </c>
      <c r="P6" s="67">
        <v>3</v>
      </c>
      <c r="Q6" s="67">
        <v>3</v>
      </c>
      <c r="R6" s="67">
        <v>2</v>
      </c>
      <c r="S6" s="69">
        <f>AVERAGE(F6:R6)</f>
        <v>2.7692307692307692</v>
      </c>
      <c r="T6" s="76"/>
      <c r="U6" s="33"/>
      <c r="W6" s="17"/>
      <c r="X6" s="65"/>
      <c r="Y6" s="20"/>
    </row>
    <row r="7" spans="2:25" ht="37.5" customHeight="1" thickBot="1">
      <c r="B7" s="26"/>
      <c r="C7" s="27" t="s">
        <v>52</v>
      </c>
      <c r="D7" s="27" t="s">
        <v>96</v>
      </c>
      <c r="E7" s="39" t="s">
        <v>97</v>
      </c>
      <c r="F7" s="67">
        <v>4</v>
      </c>
      <c r="G7" s="67">
        <v>3</v>
      </c>
      <c r="H7" s="67">
        <v>4</v>
      </c>
      <c r="I7" s="67">
        <v>4</v>
      </c>
      <c r="J7" s="67">
        <v>4</v>
      </c>
      <c r="K7" s="67">
        <v>5</v>
      </c>
      <c r="L7" s="80">
        <v>4</v>
      </c>
      <c r="M7" s="67">
        <v>4</v>
      </c>
      <c r="N7" s="67">
        <v>4</v>
      </c>
      <c r="O7" s="67">
        <v>4</v>
      </c>
      <c r="P7" s="67">
        <v>4</v>
      </c>
      <c r="Q7" s="67">
        <v>5</v>
      </c>
      <c r="R7" s="67">
        <v>4</v>
      </c>
      <c r="S7" s="69">
        <f>AVERAGE(F7:R7)</f>
        <v>4.0769230769230766</v>
      </c>
      <c r="T7" s="76"/>
      <c r="U7" s="33"/>
      <c r="W7" s="17"/>
      <c r="X7" s="65"/>
      <c r="Y7" s="20"/>
    </row>
    <row r="8" spans="2:25" ht="41.45" customHeight="1" thickBot="1">
      <c r="B8" s="26"/>
      <c r="C8" s="27" t="s">
        <v>98</v>
      </c>
      <c r="D8" s="27" t="s">
        <v>99</v>
      </c>
      <c r="E8" s="39" t="s">
        <v>100</v>
      </c>
      <c r="F8" s="67">
        <v>2</v>
      </c>
      <c r="G8" s="67">
        <v>2</v>
      </c>
      <c r="H8" s="67">
        <v>4</v>
      </c>
      <c r="I8" s="67">
        <v>2</v>
      </c>
      <c r="J8" s="67">
        <v>4</v>
      </c>
      <c r="K8" s="67">
        <v>4</v>
      </c>
      <c r="L8" s="80">
        <v>2</v>
      </c>
      <c r="M8" s="67">
        <v>2</v>
      </c>
      <c r="N8" s="67">
        <v>3</v>
      </c>
      <c r="O8" s="67">
        <v>3</v>
      </c>
      <c r="P8" s="67">
        <v>3</v>
      </c>
      <c r="Q8" s="67">
        <v>2</v>
      </c>
      <c r="R8" s="67">
        <v>2</v>
      </c>
      <c r="S8" s="69">
        <f>AVERAGE(F8:R8)</f>
        <v>2.6923076923076925</v>
      </c>
      <c r="T8" s="76"/>
      <c r="U8" s="33"/>
      <c r="V8" s="21"/>
      <c r="W8" s="17"/>
      <c r="X8" s="65"/>
      <c r="Y8" s="20"/>
    </row>
    <row r="9" spans="2:25" ht="37.5" customHeight="1" thickBot="1">
      <c r="B9" s="26"/>
      <c r="C9" s="27" t="s">
        <v>101</v>
      </c>
      <c r="D9" s="27" t="s">
        <v>102</v>
      </c>
      <c r="E9" s="39" t="s">
        <v>103</v>
      </c>
      <c r="F9" s="67">
        <v>3</v>
      </c>
      <c r="G9" s="67">
        <v>2</v>
      </c>
      <c r="H9" s="67">
        <v>2</v>
      </c>
      <c r="I9" s="67">
        <v>2</v>
      </c>
      <c r="J9" s="67">
        <v>2</v>
      </c>
      <c r="K9" s="67">
        <v>4</v>
      </c>
      <c r="L9" s="80">
        <v>2</v>
      </c>
      <c r="M9" s="67">
        <v>2</v>
      </c>
      <c r="N9" s="67">
        <v>2</v>
      </c>
      <c r="O9" s="67">
        <v>2</v>
      </c>
      <c r="P9" s="67">
        <v>3</v>
      </c>
      <c r="Q9" s="67">
        <v>1</v>
      </c>
      <c r="R9" s="67">
        <v>3</v>
      </c>
      <c r="S9" s="69">
        <f>AVERAGE(F9:R9)</f>
        <v>2.3076923076923075</v>
      </c>
      <c r="T9" s="76"/>
      <c r="U9" s="34"/>
      <c r="V9" s="35"/>
      <c r="W9" s="36"/>
      <c r="X9" s="66"/>
      <c r="Y9" s="38"/>
    </row>
    <row r="10" spans="2:25" ht="39.950000000000003" customHeight="1" thickTop="1" thickBot="1">
      <c r="B10" s="50" t="s">
        <v>104</v>
      </c>
      <c r="C10" s="51"/>
      <c r="D10" s="51"/>
      <c r="E10" s="51"/>
      <c r="F10" s="51"/>
      <c r="G10" s="51"/>
      <c r="H10" s="51"/>
      <c r="I10" s="51"/>
      <c r="J10" s="51"/>
      <c r="K10" s="51"/>
      <c r="L10" s="40"/>
      <c r="M10" s="51"/>
      <c r="N10" s="51"/>
      <c r="O10" s="51"/>
      <c r="P10" s="51"/>
      <c r="Q10" s="51"/>
      <c r="R10" s="51"/>
      <c r="S10" s="69"/>
      <c r="T10" s="69">
        <f>AVERAGE(S11:S15)</f>
        <v>3.2655011655011656</v>
      </c>
      <c r="U10" s="32"/>
      <c r="V10" s="19"/>
      <c r="W10" s="19"/>
      <c r="X10" s="19"/>
      <c r="Y10" s="19"/>
    </row>
    <row r="11" spans="2:25" ht="41.45" customHeight="1" thickBot="1">
      <c r="B11" s="26"/>
      <c r="C11" s="27" t="s">
        <v>105</v>
      </c>
      <c r="D11" s="27" t="s">
        <v>106</v>
      </c>
      <c r="E11" s="39" t="s">
        <v>107</v>
      </c>
      <c r="F11" s="67">
        <v>4</v>
      </c>
      <c r="G11" s="67">
        <v>3</v>
      </c>
      <c r="H11" s="67">
        <v>4</v>
      </c>
      <c r="I11" s="67">
        <v>4</v>
      </c>
      <c r="J11" s="67">
        <v>4</v>
      </c>
      <c r="K11" s="67">
        <v>4</v>
      </c>
      <c r="L11" s="80">
        <v>4</v>
      </c>
      <c r="M11" s="67">
        <v>4</v>
      </c>
      <c r="N11" s="67">
        <v>4</v>
      </c>
      <c r="O11" s="67">
        <v>4</v>
      </c>
      <c r="P11" s="67">
        <v>4</v>
      </c>
      <c r="Q11" s="67">
        <v>2</v>
      </c>
      <c r="R11" s="67">
        <v>3</v>
      </c>
      <c r="S11" s="69">
        <f>+AVERAGE(F11:R11)</f>
        <v>3.6923076923076925</v>
      </c>
      <c r="T11" s="76"/>
      <c r="U11" s="33"/>
      <c r="V11" s="21"/>
      <c r="W11" s="17"/>
      <c r="X11" s="65"/>
      <c r="Y11" s="20"/>
    </row>
    <row r="12" spans="2:25" ht="48.95" customHeight="1" thickBot="1">
      <c r="B12" s="26"/>
      <c r="C12" s="27" t="s">
        <v>108</v>
      </c>
      <c r="D12" s="27" t="s">
        <v>109</v>
      </c>
      <c r="E12" s="39" t="s">
        <v>110</v>
      </c>
      <c r="F12" s="67">
        <v>5</v>
      </c>
      <c r="G12" s="67">
        <v>3</v>
      </c>
      <c r="H12" s="67">
        <v>4</v>
      </c>
      <c r="I12" s="67">
        <v>4</v>
      </c>
      <c r="J12" s="67">
        <v>4</v>
      </c>
      <c r="K12" s="67">
        <v>4</v>
      </c>
      <c r="L12" s="56">
        <v>3</v>
      </c>
      <c r="M12" s="67">
        <v>4</v>
      </c>
      <c r="N12" s="67">
        <v>4</v>
      </c>
      <c r="O12" s="67">
        <v>4</v>
      </c>
      <c r="P12" s="67">
        <v>4</v>
      </c>
      <c r="Q12" s="67">
        <v>4</v>
      </c>
      <c r="R12" s="67">
        <v>4</v>
      </c>
      <c r="S12" s="69">
        <f>+AVERAGE(F12:R12)</f>
        <v>3.9230769230769229</v>
      </c>
      <c r="T12" s="76"/>
      <c r="U12" s="33"/>
      <c r="V12" s="21"/>
      <c r="W12" s="17"/>
      <c r="X12" s="65"/>
      <c r="Y12" s="20"/>
    </row>
    <row r="13" spans="2:25" ht="41.45" customHeight="1" thickBot="1">
      <c r="B13" s="26"/>
      <c r="C13" s="27" t="s">
        <v>111</v>
      </c>
      <c r="D13" s="27" t="s">
        <v>112</v>
      </c>
      <c r="E13" s="39" t="s">
        <v>127</v>
      </c>
      <c r="F13" s="67">
        <v>3</v>
      </c>
      <c r="G13" s="67">
        <v>2</v>
      </c>
      <c r="H13" s="67">
        <v>5</v>
      </c>
      <c r="I13" s="67">
        <v>2</v>
      </c>
      <c r="J13" s="67"/>
      <c r="K13" s="67">
        <v>4</v>
      </c>
      <c r="L13" s="80">
        <v>5</v>
      </c>
      <c r="M13" s="67">
        <v>4</v>
      </c>
      <c r="N13" s="67">
        <v>4</v>
      </c>
      <c r="O13" s="67">
        <v>4</v>
      </c>
      <c r="P13" s="67">
        <v>4</v>
      </c>
      <c r="Q13" s="67">
        <v>3</v>
      </c>
      <c r="R13" s="67">
        <v>3</v>
      </c>
      <c r="S13" s="69">
        <f>+AVERAGE(F13:R13)</f>
        <v>3.5833333333333335</v>
      </c>
      <c r="T13" s="76"/>
      <c r="U13" s="58"/>
      <c r="V13" s="21"/>
      <c r="W13" s="17"/>
      <c r="X13" s="65"/>
      <c r="Y13" s="20"/>
    </row>
    <row r="14" spans="2:25" ht="41.45" customHeight="1" thickBot="1">
      <c r="B14" s="26"/>
      <c r="C14" s="27" t="s">
        <v>114</v>
      </c>
      <c r="D14" s="27" t="s">
        <v>115</v>
      </c>
      <c r="E14" s="39" t="s">
        <v>116</v>
      </c>
      <c r="F14" s="67">
        <v>1</v>
      </c>
      <c r="G14" s="67">
        <v>1</v>
      </c>
      <c r="H14" s="67">
        <v>1</v>
      </c>
      <c r="I14" s="67">
        <v>1</v>
      </c>
      <c r="J14" s="67"/>
      <c r="K14" s="67">
        <v>3</v>
      </c>
      <c r="L14" s="80">
        <v>2</v>
      </c>
      <c r="M14" s="67">
        <v>2</v>
      </c>
      <c r="N14" s="67">
        <v>2</v>
      </c>
      <c r="O14" s="67">
        <v>1</v>
      </c>
      <c r="P14" s="67">
        <v>3</v>
      </c>
      <c r="Q14" s="67">
        <v>0</v>
      </c>
      <c r="R14" s="67">
        <v>2</v>
      </c>
      <c r="S14" s="69">
        <f>+AVERAGE(F14:R14)</f>
        <v>1.5833333333333333</v>
      </c>
      <c r="T14" s="77"/>
      <c r="U14" s="58"/>
      <c r="V14" s="21"/>
      <c r="W14" s="17"/>
      <c r="X14" s="65"/>
      <c r="Y14" s="20"/>
    </row>
    <row r="15" spans="2:25" ht="41.45" customHeight="1" thickBot="1">
      <c r="B15" s="41"/>
      <c r="C15" s="42" t="s">
        <v>117</v>
      </c>
      <c r="D15" s="43" t="s">
        <v>118</v>
      </c>
      <c r="E15" s="44" t="s">
        <v>119</v>
      </c>
      <c r="F15" s="67">
        <v>3</v>
      </c>
      <c r="G15" s="67">
        <v>4</v>
      </c>
      <c r="H15" s="67">
        <v>3</v>
      </c>
      <c r="I15" s="67">
        <v>3</v>
      </c>
      <c r="J15" s="67"/>
      <c r="K15" s="67">
        <v>5</v>
      </c>
      <c r="L15" s="80">
        <v>4</v>
      </c>
      <c r="M15" s="67"/>
      <c r="N15" s="67">
        <v>3</v>
      </c>
      <c r="O15" s="67">
        <v>4</v>
      </c>
      <c r="P15" s="67">
        <v>3</v>
      </c>
      <c r="Q15" s="67">
        <v>3</v>
      </c>
      <c r="R15" s="67">
        <v>4</v>
      </c>
      <c r="S15" s="70">
        <f>+AVERAGE(F15:R15)</f>
        <v>3.5454545454545454</v>
      </c>
      <c r="T15" s="78"/>
      <c r="U15" s="58"/>
      <c r="V15" s="21"/>
      <c r="W15" s="17"/>
      <c r="X15" s="65"/>
      <c r="Y15" s="20"/>
    </row>
    <row r="17" spans="2:4" ht="18.600000000000001">
      <c r="B17" s="53" t="s">
        <v>120</v>
      </c>
    </row>
    <row r="18" spans="2:4" ht="15.95">
      <c r="B18" s="30" t="s">
        <v>121</v>
      </c>
    </row>
    <row r="19" spans="2:4" ht="18.600000000000001">
      <c r="B19" s="29"/>
    </row>
    <row r="20" spans="2:4" ht="45.95" customHeight="1">
      <c r="B20" s="51" t="str">
        <f>B4</f>
        <v xml:space="preserve">Valeur Business </v>
      </c>
      <c r="C20" s="75">
        <f>T4</f>
        <v>3.2615384615384615</v>
      </c>
      <c r="D20" s="64" t="str">
        <f>IF(C20&lt;2.5,"Faible",IF(AND(C20&gt;=2.5,C20&lt;4),"Moyen","Fort"))</f>
        <v>Moyen</v>
      </c>
    </row>
    <row r="21" spans="2:4" ht="45.95" customHeight="1">
      <c r="B21" s="51" t="str">
        <f>B10</f>
        <v>Maturité du Use Case</v>
      </c>
      <c r="C21" s="75">
        <f>T10</f>
        <v>3.2655011655011656</v>
      </c>
      <c r="D21" s="64" t="str">
        <f>IF(C21&lt;2.5,"Faible",IF(AND(C21&gt;=2.5,C21&lt;4),"Moyen","Fort"))</f>
        <v>Moyen</v>
      </c>
    </row>
    <row r="24" spans="2:4" ht="88.5" customHeight="1">
      <c r="B24" s="91" t="s">
        <v>136</v>
      </c>
      <c r="C24" s="91"/>
      <c r="D24" s="73"/>
    </row>
    <row r="26" spans="2:4" ht="18.600000000000001">
      <c r="B26" s="63" t="str">
        <f>IF(C20&lt;3,"Hors priorité",
   IF(AND(C20&gt;=4,C21&gt;=4),"Hackathon",
      IF(AND(C20&gt;=4,C21&lt;4),"Backlog projet",
         IF(AND(C20&gt;=3,C20&lt;4,C21&gt;=4),"Self AI (Copilot Studio)",
            "Backlog projet"
         )
      )
   )
)</f>
        <v>Backlog projet</v>
      </c>
    </row>
    <row r="28" spans="2:4">
      <c r="B28" s="18" t="s">
        <v>123</v>
      </c>
    </row>
    <row r="29" spans="2:4" ht="130.5">
      <c r="B29" s="62" t="s">
        <v>124</v>
      </c>
    </row>
  </sheetData>
  <mergeCells count="2">
    <mergeCell ref="C2:T2"/>
    <mergeCell ref="B24:C24"/>
  </mergeCells>
  <conditionalFormatting sqref="D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sqref="F5:R9 L11 F13:R15 F11:K12 M11:R12" xr:uid="{3B635A3F-2079-4724-A056-C900B66F10FD}">
      <formula1>0</formula1>
      <formula2>5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ADD37-D22A-4B7B-90F8-EF057700B6DE}">
  <dimension ref="B1:Y29"/>
  <sheetViews>
    <sheetView showGridLines="0" topLeftCell="B1" zoomScale="40" zoomScaleNormal="40" workbookViewId="0">
      <pane xSplit="4" ySplit="3" topLeftCell="F4" activePane="bottomRight" state="frozen"/>
      <selection pane="bottomRight" activeCell="E23" sqref="E23"/>
      <selection pane="bottomLeft" activeCell="B4" sqref="B4"/>
      <selection pane="topRight" activeCell="F1" sqref="F1"/>
    </sheetView>
  </sheetViews>
  <sheetFormatPr defaultColWidth="10.7109375" defaultRowHeight="14.45"/>
  <cols>
    <col min="1" max="1" width="4" style="18" customWidth="1"/>
    <col min="2" max="2" width="13" style="18" customWidth="1"/>
    <col min="3" max="3" width="13.140625" style="18" customWidth="1"/>
    <col min="4" max="4" width="65.85546875" style="18" customWidth="1"/>
    <col min="5" max="5" width="20.42578125" style="18" customWidth="1"/>
    <col min="6" max="11" width="18.42578125" style="18" customWidth="1"/>
    <col min="12" max="12" width="18.42578125" style="56" customWidth="1"/>
    <col min="13" max="18" width="18.42578125" style="18" customWidth="1"/>
    <col min="19" max="19" width="10.42578125" style="18" customWidth="1"/>
    <col min="20" max="20" width="15.28515625" style="18" customWidth="1"/>
    <col min="21" max="21" width="10.7109375" style="18" bestFit="1"/>
    <col min="22" max="22" width="15" style="18" customWidth="1"/>
    <col min="23" max="16384" width="10.7109375" style="18"/>
  </cols>
  <sheetData>
    <row r="1" spans="2:25" ht="15" thickBot="1"/>
    <row r="2" spans="2:25" ht="32.1" customHeight="1">
      <c r="B2" s="23" t="s">
        <v>162</v>
      </c>
      <c r="C2" s="92" t="s">
        <v>163</v>
      </c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31"/>
    </row>
    <row r="3" spans="2:25" ht="63.6" customHeight="1" thickBot="1">
      <c r="B3" s="25" t="s">
        <v>1</v>
      </c>
      <c r="C3" s="25" t="s">
        <v>2</v>
      </c>
      <c r="D3" s="25" t="s">
        <v>73</v>
      </c>
      <c r="E3" s="25" t="s">
        <v>74</v>
      </c>
      <c r="F3" s="25" t="s">
        <v>75</v>
      </c>
      <c r="G3" s="25" t="s">
        <v>76</v>
      </c>
      <c r="H3" s="25" t="s">
        <v>77</v>
      </c>
      <c r="I3" s="25" t="s">
        <v>78</v>
      </c>
      <c r="J3" s="25" t="s">
        <v>79</v>
      </c>
      <c r="K3" s="25" t="s">
        <v>80</v>
      </c>
      <c r="L3" s="25" t="s">
        <v>81</v>
      </c>
      <c r="M3" s="25" t="s">
        <v>82</v>
      </c>
      <c r="N3" s="25" t="s">
        <v>83</v>
      </c>
      <c r="O3" s="25" t="s">
        <v>84</v>
      </c>
      <c r="P3" s="25" t="s">
        <v>85</v>
      </c>
      <c r="Q3" s="25" t="s">
        <v>86</v>
      </c>
      <c r="R3" s="25" t="s">
        <v>87</v>
      </c>
      <c r="S3" s="25" t="s">
        <v>88</v>
      </c>
      <c r="T3" s="25" t="s">
        <v>89</v>
      </c>
      <c r="U3" s="31"/>
    </row>
    <row r="4" spans="2:25" ht="36.950000000000003" customHeight="1" thickTop="1" thickBot="1">
      <c r="B4" s="46" t="s">
        <v>90</v>
      </c>
      <c r="C4" s="47"/>
      <c r="D4" s="47"/>
      <c r="E4" s="47"/>
      <c r="F4" s="47"/>
      <c r="G4" s="47"/>
      <c r="H4" s="47"/>
      <c r="I4" s="47"/>
      <c r="J4" s="47"/>
      <c r="K4" s="47"/>
      <c r="L4" s="48"/>
      <c r="M4" s="47"/>
      <c r="N4" s="47"/>
      <c r="O4" s="47"/>
      <c r="P4" s="47"/>
      <c r="Q4" s="47">
        <f>P4 - 1</f>
        <v>-1</v>
      </c>
      <c r="R4" s="47"/>
      <c r="S4" s="48"/>
      <c r="T4" s="71">
        <f>AVERAGE(S5:S9)</f>
        <v>1.5555555555555556</v>
      </c>
      <c r="U4" s="32"/>
      <c r="V4" s="19"/>
      <c r="W4" s="19"/>
      <c r="X4" s="19"/>
      <c r="Y4" s="19"/>
    </row>
    <row r="5" spans="2:25" ht="37.5" customHeight="1" thickBot="1">
      <c r="B5" s="26"/>
      <c r="C5" s="27" t="s">
        <v>91</v>
      </c>
      <c r="D5" s="27" t="s">
        <v>92</v>
      </c>
      <c r="E5" s="39" t="s">
        <v>93</v>
      </c>
      <c r="F5" s="67">
        <v>2</v>
      </c>
      <c r="G5" s="67"/>
      <c r="H5" s="67"/>
      <c r="I5" s="67"/>
      <c r="J5" s="67">
        <v>3</v>
      </c>
      <c r="K5" s="67"/>
      <c r="L5" s="80">
        <v>3</v>
      </c>
      <c r="M5" s="67">
        <v>1</v>
      </c>
      <c r="N5" s="67">
        <v>2</v>
      </c>
      <c r="O5" s="67">
        <v>2</v>
      </c>
      <c r="P5" s="67">
        <v>2</v>
      </c>
      <c r="Q5" s="67">
        <f>P5 - 1</f>
        <v>1</v>
      </c>
      <c r="R5" s="67">
        <v>2</v>
      </c>
      <c r="S5" s="69">
        <f>AVERAGE(F5:R5)</f>
        <v>2</v>
      </c>
      <c r="T5" s="76"/>
      <c r="U5" s="33"/>
      <c r="W5" s="17"/>
      <c r="X5" s="65"/>
      <c r="Y5" s="20"/>
    </row>
    <row r="6" spans="2:25" ht="37.5" customHeight="1" thickBot="1">
      <c r="B6" s="26"/>
      <c r="C6" s="27" t="s">
        <v>41</v>
      </c>
      <c r="D6" s="27" t="s">
        <v>94</v>
      </c>
      <c r="E6" s="39" t="s">
        <v>95</v>
      </c>
      <c r="F6" s="67">
        <v>1</v>
      </c>
      <c r="G6" s="67"/>
      <c r="H6" s="67"/>
      <c r="I6" s="67"/>
      <c r="J6" s="67">
        <v>1</v>
      </c>
      <c r="K6" s="67"/>
      <c r="L6" s="80">
        <v>1</v>
      </c>
      <c r="M6" s="67">
        <v>0</v>
      </c>
      <c r="N6" s="67">
        <v>2</v>
      </c>
      <c r="O6" s="67">
        <v>2</v>
      </c>
      <c r="P6" s="67">
        <v>2</v>
      </c>
      <c r="Q6" s="67">
        <f>P6 - 1</f>
        <v>1</v>
      </c>
      <c r="R6" s="67">
        <v>2</v>
      </c>
      <c r="S6" s="69">
        <f>AVERAGE(F6:R6)</f>
        <v>1.3333333333333333</v>
      </c>
      <c r="T6" s="76"/>
      <c r="U6" s="33"/>
      <c r="W6" s="17"/>
      <c r="X6" s="65"/>
      <c r="Y6" s="20"/>
    </row>
    <row r="7" spans="2:25" ht="37.5" customHeight="1" thickBot="1">
      <c r="B7" s="26"/>
      <c r="C7" s="27" t="s">
        <v>52</v>
      </c>
      <c r="D7" s="27" t="s">
        <v>96</v>
      </c>
      <c r="E7" s="39" t="s">
        <v>97</v>
      </c>
      <c r="F7" s="67">
        <v>2</v>
      </c>
      <c r="G7" s="67"/>
      <c r="H7" s="67"/>
      <c r="I7" s="67"/>
      <c r="J7" s="67">
        <v>2</v>
      </c>
      <c r="K7" s="67"/>
      <c r="L7" s="80">
        <v>2</v>
      </c>
      <c r="M7" s="67">
        <v>0</v>
      </c>
      <c r="N7" s="67">
        <v>2</v>
      </c>
      <c r="O7" s="67">
        <v>2</v>
      </c>
      <c r="P7" s="67">
        <v>2</v>
      </c>
      <c r="Q7" s="67">
        <f>P7 - 1</f>
        <v>1</v>
      </c>
      <c r="R7" s="67">
        <v>3</v>
      </c>
      <c r="S7" s="69">
        <f>AVERAGE(F7:R7)</f>
        <v>1.7777777777777777</v>
      </c>
      <c r="T7" s="76"/>
      <c r="U7" s="33"/>
      <c r="W7" s="17"/>
      <c r="X7" s="65"/>
      <c r="Y7" s="20"/>
    </row>
    <row r="8" spans="2:25" ht="41.45" customHeight="1" thickBot="1">
      <c r="B8" s="26"/>
      <c r="C8" s="27" t="s">
        <v>98</v>
      </c>
      <c r="D8" s="27" t="s">
        <v>99</v>
      </c>
      <c r="E8" s="39" t="s">
        <v>100</v>
      </c>
      <c r="F8" s="67">
        <v>1</v>
      </c>
      <c r="G8" s="67"/>
      <c r="H8" s="67"/>
      <c r="I8" s="67"/>
      <c r="J8" s="67">
        <v>2</v>
      </c>
      <c r="K8" s="67"/>
      <c r="L8" s="80">
        <v>2</v>
      </c>
      <c r="M8" s="67">
        <v>0</v>
      </c>
      <c r="N8" s="67">
        <v>2</v>
      </c>
      <c r="O8" s="67">
        <v>1</v>
      </c>
      <c r="P8" s="67">
        <v>1</v>
      </c>
      <c r="Q8" s="67">
        <f>P8 - 1</f>
        <v>0</v>
      </c>
      <c r="R8" s="67">
        <v>2</v>
      </c>
      <c r="S8" s="69">
        <f>AVERAGE(F8:R8)</f>
        <v>1.2222222222222223</v>
      </c>
      <c r="T8" s="76"/>
      <c r="U8" s="33"/>
      <c r="V8" s="21"/>
      <c r="W8" s="17"/>
      <c r="X8" s="65"/>
      <c r="Y8" s="20"/>
    </row>
    <row r="9" spans="2:25" ht="37.5" customHeight="1" thickBot="1">
      <c r="B9" s="26"/>
      <c r="C9" s="27" t="s">
        <v>101</v>
      </c>
      <c r="D9" s="27" t="s">
        <v>102</v>
      </c>
      <c r="E9" s="39" t="s">
        <v>103</v>
      </c>
      <c r="F9" s="67">
        <v>2</v>
      </c>
      <c r="G9" s="67"/>
      <c r="H9" s="67"/>
      <c r="I9" s="67"/>
      <c r="J9" s="67">
        <v>2</v>
      </c>
      <c r="K9" s="67"/>
      <c r="L9" s="80">
        <v>1</v>
      </c>
      <c r="M9" s="67">
        <v>0</v>
      </c>
      <c r="N9" s="67">
        <v>2</v>
      </c>
      <c r="O9" s="67">
        <v>1</v>
      </c>
      <c r="P9" s="67">
        <v>2</v>
      </c>
      <c r="Q9" s="67">
        <f>P9 - 1</f>
        <v>1</v>
      </c>
      <c r="R9" s="67">
        <v>2</v>
      </c>
      <c r="S9" s="69">
        <f>AVERAGE(F9:R9)</f>
        <v>1.4444444444444444</v>
      </c>
      <c r="T9" s="76"/>
      <c r="U9" s="34"/>
      <c r="V9" s="35"/>
      <c r="W9" s="36"/>
      <c r="X9" s="66"/>
      <c r="Y9" s="38"/>
    </row>
    <row r="10" spans="2:25" ht="39.950000000000003" customHeight="1" thickTop="1" thickBot="1">
      <c r="B10" s="50" t="s">
        <v>104</v>
      </c>
      <c r="C10" s="51"/>
      <c r="D10" s="51"/>
      <c r="E10" s="51"/>
      <c r="F10" s="51"/>
      <c r="G10" s="51"/>
      <c r="H10" s="51"/>
      <c r="I10" s="51"/>
      <c r="J10" s="51"/>
      <c r="K10" s="51"/>
      <c r="L10" s="40"/>
      <c r="M10" s="51"/>
      <c r="N10" s="51"/>
      <c r="O10" s="51"/>
      <c r="P10" s="51"/>
      <c r="Q10" s="51"/>
      <c r="R10" s="51"/>
      <c r="S10" s="69"/>
      <c r="T10" s="69">
        <f>AVERAGE(S11:S15)</f>
        <v>2.8563492063492064</v>
      </c>
      <c r="U10" s="32"/>
      <c r="V10" s="19"/>
      <c r="W10" s="19"/>
      <c r="X10" s="19"/>
      <c r="Y10" s="19"/>
    </row>
    <row r="11" spans="2:25" ht="41.45" customHeight="1" thickBot="1">
      <c r="B11" s="26"/>
      <c r="C11" s="27" t="s">
        <v>105</v>
      </c>
      <c r="D11" s="27" t="s">
        <v>106</v>
      </c>
      <c r="E11" s="39" t="s">
        <v>107</v>
      </c>
      <c r="F11" s="67">
        <v>3</v>
      </c>
      <c r="G11" s="67"/>
      <c r="H11" s="67"/>
      <c r="I11" s="67"/>
      <c r="J11" s="67">
        <v>3</v>
      </c>
      <c r="K11" s="67"/>
      <c r="L11" s="80">
        <v>2</v>
      </c>
      <c r="M11" s="67">
        <v>1</v>
      </c>
      <c r="N11" s="67">
        <v>2</v>
      </c>
      <c r="O11" s="67">
        <v>1</v>
      </c>
      <c r="P11" s="67">
        <v>1</v>
      </c>
      <c r="Q11" s="67">
        <v>1</v>
      </c>
      <c r="R11" s="67">
        <v>2</v>
      </c>
      <c r="S11" s="69">
        <f>+AVERAGE(F11:R11)</f>
        <v>1.7777777777777777</v>
      </c>
      <c r="T11" s="76"/>
      <c r="U11" s="33"/>
      <c r="V11" s="21"/>
      <c r="W11" s="17"/>
      <c r="X11" s="65"/>
      <c r="Y11" s="20"/>
    </row>
    <row r="12" spans="2:25" ht="48.95" customHeight="1" thickBot="1">
      <c r="B12" s="26"/>
      <c r="C12" s="27" t="s">
        <v>108</v>
      </c>
      <c r="D12" s="27" t="s">
        <v>109</v>
      </c>
      <c r="E12" s="39" t="s">
        <v>110</v>
      </c>
      <c r="F12" s="67">
        <v>4</v>
      </c>
      <c r="G12" s="67"/>
      <c r="H12" s="67"/>
      <c r="I12" s="67"/>
      <c r="J12" s="67">
        <v>4</v>
      </c>
      <c r="K12" s="67"/>
      <c r="L12" s="80">
        <v>5</v>
      </c>
      <c r="M12" s="67">
        <v>3</v>
      </c>
      <c r="N12" s="67">
        <v>4</v>
      </c>
      <c r="O12" s="67">
        <v>4</v>
      </c>
      <c r="P12" s="67">
        <v>4</v>
      </c>
      <c r="Q12" s="67">
        <v>5</v>
      </c>
      <c r="R12" s="67">
        <v>4</v>
      </c>
      <c r="S12" s="69">
        <f>+AVERAGE(F12:R12)</f>
        <v>4.1111111111111107</v>
      </c>
      <c r="T12" s="76"/>
      <c r="U12" s="33"/>
      <c r="V12" s="21"/>
      <c r="W12" s="17"/>
      <c r="X12" s="65"/>
      <c r="Y12" s="20"/>
    </row>
    <row r="13" spans="2:25" ht="41.45" customHeight="1" thickBot="1">
      <c r="B13" s="26"/>
      <c r="C13" s="27" t="s">
        <v>111</v>
      </c>
      <c r="D13" s="27" t="s">
        <v>112</v>
      </c>
      <c r="E13" s="39" t="s">
        <v>127</v>
      </c>
      <c r="F13" s="67">
        <v>3</v>
      </c>
      <c r="G13" s="67"/>
      <c r="H13" s="67"/>
      <c r="I13" s="67"/>
      <c r="J13" s="67"/>
      <c r="K13" s="67"/>
      <c r="L13" s="80">
        <v>3</v>
      </c>
      <c r="M13" s="67">
        <v>2</v>
      </c>
      <c r="N13" s="67">
        <v>3</v>
      </c>
      <c r="O13" s="67">
        <v>2</v>
      </c>
      <c r="P13" s="67">
        <v>2</v>
      </c>
      <c r="Q13" s="67">
        <f>P13 - 1</f>
        <v>1</v>
      </c>
      <c r="R13" s="67">
        <v>2</v>
      </c>
      <c r="S13" s="69">
        <f>+AVERAGE(F13:R13)</f>
        <v>2.25</v>
      </c>
      <c r="T13" s="76"/>
      <c r="U13" s="58"/>
      <c r="V13" s="21"/>
      <c r="W13" s="17"/>
      <c r="X13" s="65"/>
      <c r="Y13" s="20"/>
    </row>
    <row r="14" spans="2:25" ht="41.45" customHeight="1" thickBot="1">
      <c r="B14" s="26"/>
      <c r="C14" s="27" t="s">
        <v>114</v>
      </c>
      <c r="D14" s="27" t="s">
        <v>115</v>
      </c>
      <c r="E14" s="39" t="s">
        <v>116</v>
      </c>
      <c r="F14" s="67">
        <v>1</v>
      </c>
      <c r="G14" s="67"/>
      <c r="H14" s="67"/>
      <c r="I14" s="67"/>
      <c r="J14" s="67"/>
      <c r="K14" s="67"/>
      <c r="L14" s="80">
        <v>1</v>
      </c>
      <c r="M14" s="67"/>
      <c r="N14" s="67">
        <v>1</v>
      </c>
      <c r="O14" s="67">
        <v>2</v>
      </c>
      <c r="P14" s="67">
        <v>2</v>
      </c>
      <c r="Q14" s="67">
        <f>P14 - 1</f>
        <v>1</v>
      </c>
      <c r="R14" s="67">
        <v>2</v>
      </c>
      <c r="S14" s="69">
        <f>+AVERAGE(F14:R14)</f>
        <v>1.4285714285714286</v>
      </c>
      <c r="T14" s="77"/>
      <c r="U14" s="58"/>
      <c r="V14" s="21"/>
      <c r="W14" s="17"/>
      <c r="X14" s="65"/>
      <c r="Y14" s="20"/>
    </row>
    <row r="15" spans="2:25" ht="41.45" customHeight="1" thickBot="1">
      <c r="B15" s="41"/>
      <c r="C15" s="42" t="s">
        <v>117</v>
      </c>
      <c r="D15" s="43" t="s">
        <v>118</v>
      </c>
      <c r="E15" s="44" t="s">
        <v>119</v>
      </c>
      <c r="F15" s="67">
        <v>5</v>
      </c>
      <c r="G15" s="67"/>
      <c r="H15" s="67"/>
      <c r="I15" s="67"/>
      <c r="J15" s="67"/>
      <c r="K15" s="67"/>
      <c r="L15" s="80">
        <v>5</v>
      </c>
      <c r="M15" s="67"/>
      <c r="N15" s="67">
        <v>5</v>
      </c>
      <c r="O15" s="67">
        <v>5</v>
      </c>
      <c r="P15" s="67">
        <v>5</v>
      </c>
      <c r="Q15" s="67">
        <f>P15 - 1</f>
        <v>4</v>
      </c>
      <c r="R15" s="67">
        <v>4</v>
      </c>
      <c r="S15" s="70">
        <f>+AVERAGE(F15:R15)</f>
        <v>4.7142857142857144</v>
      </c>
      <c r="T15" s="78"/>
      <c r="U15" s="58"/>
      <c r="V15" s="21"/>
      <c r="W15" s="17"/>
      <c r="X15" s="65"/>
      <c r="Y15" s="20"/>
    </row>
    <row r="16" spans="2:25" ht="21">
      <c r="H16" s="83" t="s">
        <v>164</v>
      </c>
      <c r="K16" s="84" t="s">
        <v>165</v>
      </c>
    </row>
    <row r="17" spans="2:8" ht="18.600000000000001">
      <c r="B17" s="53" t="s">
        <v>120</v>
      </c>
      <c r="H17" s="83" t="s">
        <v>166</v>
      </c>
    </row>
    <row r="18" spans="2:8" ht="15.95">
      <c r="B18" s="30" t="s">
        <v>121</v>
      </c>
    </row>
    <row r="19" spans="2:8" ht="18.600000000000001">
      <c r="B19" s="29"/>
    </row>
    <row r="20" spans="2:8" ht="45.95" customHeight="1">
      <c r="B20" s="51" t="str">
        <f>B4</f>
        <v xml:space="preserve">Valeur Business </v>
      </c>
      <c r="C20" s="75">
        <f>T4</f>
        <v>1.5555555555555556</v>
      </c>
      <c r="D20" s="64" t="str">
        <f>IF(C20&lt;2.5,"Faible",IF(AND(C20&gt;=2.5,C20&lt;4),"Moyen","Fort"))</f>
        <v>Faible</v>
      </c>
    </row>
    <row r="21" spans="2:8" ht="45.95" customHeight="1">
      <c r="B21" s="51" t="str">
        <f>B10</f>
        <v>Maturité du Use Case</v>
      </c>
      <c r="C21" s="75">
        <f>T10</f>
        <v>2.8563492063492064</v>
      </c>
      <c r="D21" s="64" t="str">
        <f>IF(C21&lt;2.5,"Faible",IF(AND(C21&gt;=2.5,C21&lt;4),"Moyen","Fort"))</f>
        <v>Moyen</v>
      </c>
    </row>
    <row r="24" spans="2:8" ht="83.45" customHeight="1">
      <c r="B24" s="91" t="s">
        <v>136</v>
      </c>
      <c r="C24" s="91"/>
      <c r="D24" s="73"/>
    </row>
    <row r="26" spans="2:8" ht="18.600000000000001">
      <c r="B26" s="63" t="str">
        <f>IF(C20&lt;3,"Hors priorité",
   IF(AND(C20&gt;=4,C21&gt;=4),"Hackathon",
      IF(AND(C20&gt;=4,C21&lt;4),"Backlog projet",
         IF(AND(C20&gt;=3,C20&lt;4,C21&gt;=4),"Self AI (Copilot Studio)",
            "Backlog projet"
         )
      )
   )
)</f>
        <v>Hors priorité</v>
      </c>
    </row>
    <row r="28" spans="2:8">
      <c r="B28" s="18" t="s">
        <v>123</v>
      </c>
    </row>
    <row r="29" spans="2:8" ht="130.5">
      <c r="B29" s="62" t="s">
        <v>124</v>
      </c>
    </row>
  </sheetData>
  <mergeCells count="2">
    <mergeCell ref="C2:T2"/>
    <mergeCell ref="B24:C24"/>
  </mergeCells>
  <conditionalFormatting sqref="D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sqref="F11:R15 F5:R9" xr:uid="{A61F4889-B0D6-4D4E-AD60-E99B34BE31F3}">
      <formula1>0</formula1>
      <formula2>5</formula2>
    </dataValidation>
  </dataValidation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187BF-6C69-4C44-B5CC-94213EA6C13A}">
  <dimension ref="B1:X29"/>
  <sheetViews>
    <sheetView showGridLines="0" topLeftCell="A7" zoomScale="40" zoomScaleNormal="40" workbookViewId="0">
      <selection activeCell="E22" sqref="E22"/>
    </sheetView>
  </sheetViews>
  <sheetFormatPr defaultColWidth="10.7109375" defaultRowHeight="14.45"/>
  <cols>
    <col min="1" max="1" width="4" style="18" customWidth="1"/>
    <col min="2" max="2" width="37.140625" style="18" customWidth="1"/>
    <col min="3" max="3" width="20.28515625" style="18" bestFit="1" customWidth="1"/>
    <col min="4" max="4" width="112.140625" style="18" customWidth="1"/>
    <col min="5" max="5" width="60.85546875" style="18" customWidth="1"/>
    <col min="6" max="17" width="18.42578125" style="18" customWidth="1"/>
    <col min="18" max="18" width="10.42578125" style="18" customWidth="1"/>
    <col min="19" max="19" width="15.28515625" style="18" customWidth="1"/>
    <col min="20" max="20" width="10.7109375" style="18" bestFit="1"/>
    <col min="21" max="21" width="15" style="18" customWidth="1"/>
    <col min="22" max="16384" width="10.7109375" style="18"/>
  </cols>
  <sheetData>
    <row r="1" spans="2:24" ht="15" thickBot="1"/>
    <row r="2" spans="2:24" ht="32.1" customHeight="1">
      <c r="B2" s="23" t="s">
        <v>167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31"/>
    </row>
    <row r="3" spans="2:24" ht="63.6" customHeight="1" thickBot="1">
      <c r="B3" s="25" t="s">
        <v>1</v>
      </c>
      <c r="C3" s="25" t="s">
        <v>2</v>
      </c>
      <c r="D3" s="25" t="s">
        <v>73</v>
      </c>
      <c r="E3" s="25" t="s">
        <v>74</v>
      </c>
      <c r="F3" s="25" t="s">
        <v>75</v>
      </c>
      <c r="G3" s="25" t="s">
        <v>76</v>
      </c>
      <c r="H3" s="25" t="s">
        <v>77</v>
      </c>
      <c r="I3" s="25" t="s">
        <v>78</v>
      </c>
      <c r="J3" s="25" t="s">
        <v>79</v>
      </c>
      <c r="K3" s="25" t="s">
        <v>80</v>
      </c>
      <c r="L3" s="25" t="s">
        <v>81</v>
      </c>
      <c r="M3" s="25" t="s">
        <v>82</v>
      </c>
      <c r="N3" s="25" t="s">
        <v>83</v>
      </c>
      <c r="O3" s="25" t="s">
        <v>84</v>
      </c>
      <c r="P3" s="25" t="s">
        <v>85</v>
      </c>
      <c r="Q3" s="25" t="s">
        <v>86</v>
      </c>
      <c r="R3" s="25" t="s">
        <v>88</v>
      </c>
      <c r="S3" s="25" t="s">
        <v>89</v>
      </c>
      <c r="T3" s="31"/>
    </row>
    <row r="4" spans="2:24" ht="36.950000000000003" customHeight="1" thickTop="1" thickBot="1">
      <c r="B4" s="46" t="s">
        <v>90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8"/>
      <c r="S4" s="49" t="e">
        <f>AVERAGE(R5:R9)</f>
        <v>#DIV/0!</v>
      </c>
      <c r="T4" s="32"/>
      <c r="U4" s="19"/>
      <c r="V4" s="19"/>
      <c r="W4" s="19"/>
      <c r="X4" s="19"/>
    </row>
    <row r="5" spans="2:24" ht="37.5" customHeight="1" thickBot="1">
      <c r="B5" s="26"/>
      <c r="C5" s="27" t="s">
        <v>91</v>
      </c>
      <c r="D5" s="27" t="s">
        <v>92</v>
      </c>
      <c r="E5" s="39" t="s">
        <v>93</v>
      </c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40" t="e">
        <f>AVERAGE(F5:Q5)</f>
        <v>#DIV/0!</v>
      </c>
      <c r="S5" s="28"/>
      <c r="T5" s="33"/>
      <c r="V5" s="17"/>
      <c r="W5" s="65"/>
      <c r="X5" s="20"/>
    </row>
    <row r="6" spans="2:24" ht="37.5" customHeight="1" thickBot="1">
      <c r="B6" s="26"/>
      <c r="C6" s="27" t="s">
        <v>41</v>
      </c>
      <c r="D6" s="27" t="s">
        <v>94</v>
      </c>
      <c r="E6" s="39" t="s">
        <v>95</v>
      </c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40" t="e">
        <f>AVERAGE(F6:Q6)</f>
        <v>#DIV/0!</v>
      </c>
      <c r="S6" s="28"/>
      <c r="T6" s="33"/>
      <c r="V6" s="17"/>
      <c r="W6" s="65"/>
      <c r="X6" s="20"/>
    </row>
    <row r="7" spans="2:24" ht="37.5" customHeight="1" thickBot="1">
      <c r="B7" s="26"/>
      <c r="C7" s="27" t="s">
        <v>52</v>
      </c>
      <c r="D7" s="27" t="s">
        <v>96</v>
      </c>
      <c r="E7" s="39" t="s">
        <v>97</v>
      </c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40" t="e">
        <f>AVERAGE(F7:Q7)</f>
        <v>#DIV/0!</v>
      </c>
      <c r="S7" s="28"/>
      <c r="T7" s="33"/>
      <c r="V7" s="17"/>
      <c r="W7" s="65"/>
      <c r="X7" s="20"/>
    </row>
    <row r="8" spans="2:24" ht="41.45" customHeight="1" thickBot="1">
      <c r="B8" s="26"/>
      <c r="C8" s="27" t="s">
        <v>98</v>
      </c>
      <c r="D8" s="27" t="s">
        <v>99</v>
      </c>
      <c r="E8" s="39" t="s">
        <v>100</v>
      </c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40" t="e">
        <f>AVERAGE(F8:Q8)</f>
        <v>#DIV/0!</v>
      </c>
      <c r="S8" s="28"/>
      <c r="T8" s="33"/>
      <c r="U8" s="21"/>
      <c r="V8" s="17"/>
      <c r="W8" s="65"/>
      <c r="X8" s="20"/>
    </row>
    <row r="9" spans="2:24" ht="37.5" customHeight="1" thickBot="1">
      <c r="B9" s="26"/>
      <c r="C9" s="27" t="s">
        <v>101</v>
      </c>
      <c r="D9" s="27" t="s">
        <v>102</v>
      </c>
      <c r="E9" s="39" t="s">
        <v>103</v>
      </c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40" t="e">
        <f>AVERAGE(F9:Q9)</f>
        <v>#DIV/0!</v>
      </c>
      <c r="S9" s="28"/>
      <c r="T9" s="34"/>
      <c r="U9" s="35"/>
      <c r="V9" s="36"/>
      <c r="W9" s="66"/>
      <c r="X9" s="38"/>
    </row>
    <row r="10" spans="2:24" ht="39.950000000000003" customHeight="1" thickTop="1" thickBot="1">
      <c r="B10" s="50" t="s">
        <v>104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40"/>
      <c r="S10" s="52" t="e">
        <f>AVERAGE(R11:R15)</f>
        <v>#DIV/0!</v>
      </c>
      <c r="T10" s="32"/>
      <c r="U10" s="19"/>
      <c r="V10" s="19"/>
      <c r="W10" s="19"/>
      <c r="X10" s="19"/>
    </row>
    <row r="11" spans="2:24" ht="41.45" customHeight="1" thickBot="1">
      <c r="B11" s="26"/>
      <c r="C11" s="27" t="s">
        <v>105</v>
      </c>
      <c r="D11" s="27" t="s">
        <v>106</v>
      </c>
      <c r="E11" s="39" t="s">
        <v>107</v>
      </c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40" t="e">
        <f>+AVERAGE(F11:Q11)</f>
        <v>#DIV/0!</v>
      </c>
      <c r="S11" s="28"/>
      <c r="T11" s="33"/>
      <c r="U11" s="21"/>
      <c r="V11" s="17"/>
      <c r="W11" s="65"/>
      <c r="X11" s="20"/>
    </row>
    <row r="12" spans="2:24" ht="48.95" customHeight="1" thickBot="1">
      <c r="B12" s="26"/>
      <c r="C12" s="27" t="s">
        <v>108</v>
      </c>
      <c r="D12" s="27" t="s">
        <v>109</v>
      </c>
      <c r="E12" s="39" t="s">
        <v>110</v>
      </c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40" t="e">
        <f>+AVERAGE(F12:Q12)</f>
        <v>#DIV/0!</v>
      </c>
      <c r="S12" s="28"/>
      <c r="T12" s="33"/>
      <c r="U12" s="21"/>
      <c r="V12" s="17"/>
      <c r="W12" s="65"/>
      <c r="X12" s="20"/>
    </row>
    <row r="13" spans="2:24" ht="41.45" customHeight="1" thickBot="1">
      <c r="B13" s="26"/>
      <c r="C13" s="27" t="s">
        <v>111</v>
      </c>
      <c r="D13" s="27" t="s">
        <v>112</v>
      </c>
      <c r="E13" s="39" t="s">
        <v>127</v>
      </c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40" t="e">
        <f>+AVERAGE(F13:Q13)</f>
        <v>#DIV/0!</v>
      </c>
      <c r="S13" s="28"/>
      <c r="T13" s="58"/>
      <c r="U13" s="21"/>
      <c r="V13" s="17"/>
      <c r="W13" s="65"/>
      <c r="X13" s="20"/>
    </row>
    <row r="14" spans="2:24" ht="41.45" customHeight="1" thickBot="1">
      <c r="B14" s="26"/>
      <c r="C14" s="27" t="s">
        <v>114</v>
      </c>
      <c r="D14" s="27" t="s">
        <v>115</v>
      </c>
      <c r="E14" s="39" t="s">
        <v>116</v>
      </c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40" t="e">
        <f>+AVERAGE(F14:Q14)</f>
        <v>#DIV/0!</v>
      </c>
      <c r="S14" s="61"/>
      <c r="T14" s="58"/>
      <c r="U14" s="21"/>
      <c r="V14" s="17"/>
      <c r="W14" s="65"/>
      <c r="X14" s="20"/>
    </row>
    <row r="15" spans="2:24" ht="41.45" customHeight="1" thickBot="1">
      <c r="B15" s="41"/>
      <c r="C15" s="42" t="s">
        <v>117</v>
      </c>
      <c r="D15" s="43" t="s">
        <v>118</v>
      </c>
      <c r="E15" s="44" t="s">
        <v>119</v>
      </c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45" t="e">
        <f>+AVERAGE(F15:Q15)</f>
        <v>#DIV/0!</v>
      </c>
      <c r="S15" s="59"/>
      <c r="T15" s="58"/>
      <c r="U15" s="21"/>
      <c r="V15" s="17"/>
      <c r="W15" s="65"/>
      <c r="X15" s="20"/>
    </row>
    <row r="17" spans="2:4" ht="18.600000000000001">
      <c r="B17" s="53" t="s">
        <v>120</v>
      </c>
    </row>
    <row r="18" spans="2:4" ht="15.95">
      <c r="B18" s="30" t="s">
        <v>121</v>
      </c>
    </row>
    <row r="19" spans="2:4" ht="18.600000000000001">
      <c r="B19" s="29"/>
    </row>
    <row r="20" spans="2:4" ht="45.95" customHeight="1">
      <c r="B20" s="51" t="str">
        <f>B4</f>
        <v xml:space="preserve">Valeur Business </v>
      </c>
      <c r="C20" s="75" t="e">
        <f>S4</f>
        <v>#DIV/0!</v>
      </c>
      <c r="D20" s="64" t="e">
        <f>IF(C20&lt;2.5,"Faible",IF(AND(C20&gt;=2.5,C20&lt;4),"Moyen","Fort"))</f>
        <v>#DIV/0!</v>
      </c>
    </row>
    <row r="21" spans="2:4" ht="45.95" customHeight="1">
      <c r="B21" s="51" t="str">
        <f>B10</f>
        <v>Maturité du Use Case</v>
      </c>
      <c r="C21" s="75" t="e">
        <f>S10</f>
        <v>#DIV/0!</v>
      </c>
      <c r="D21" s="64" t="e">
        <f>IF(C21&lt;2.5,"Faible",IF(AND(C21&gt;=2.5,C21&lt;4),"Moyen","Fort"))</f>
        <v>#DIV/0!</v>
      </c>
    </row>
    <row r="24" spans="2:4" ht="84.95" customHeight="1">
      <c r="B24" s="91" t="s">
        <v>136</v>
      </c>
      <c r="C24" s="91"/>
      <c r="D24" s="73"/>
    </row>
    <row r="26" spans="2:4" ht="18.600000000000001">
      <c r="B26" s="63" t="e">
        <f>IF(C20&lt;3,"Hors priorité",
   IF(AND(C20&gt;=4,C21&gt;=4),"Hackathon",
      IF(AND(C20&gt;=4,C21&lt;4),"Backlog projet",
         IF(AND(C20&gt;=3,C20&lt;4,C21&gt;=4),"Self AI (Copilot Studio)",
            "Backlog projet"
         )
      )
   )
)</f>
        <v>#DIV/0!</v>
      </c>
    </row>
    <row r="28" spans="2:4">
      <c r="B28" s="18" t="s">
        <v>123</v>
      </c>
    </row>
    <row r="29" spans="2:4" ht="72.599999999999994">
      <c r="B29" s="62" t="s">
        <v>124</v>
      </c>
    </row>
  </sheetData>
  <mergeCells count="2">
    <mergeCell ref="C2:S2"/>
    <mergeCell ref="B24:C24"/>
  </mergeCells>
  <conditionalFormatting sqref="D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sqref="F5:Q9 F11:Q15" xr:uid="{A63D9EB8-E2C6-418E-9F82-3406108D21EE}">
      <formula1>0</formula1>
      <formula2>5</formula2>
    </dataValidation>
  </dataValidation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46016-131D-442B-A6CE-0BDCB7CB1BA2}">
  <dimension ref="A2:D14"/>
  <sheetViews>
    <sheetView workbookViewId="0">
      <selection activeCell="C16" sqref="C16"/>
    </sheetView>
  </sheetViews>
  <sheetFormatPr defaultColWidth="11.42578125" defaultRowHeight="14.45"/>
  <cols>
    <col min="1" max="1" width="43.42578125" bestFit="1" customWidth="1"/>
    <col min="2" max="2" width="37" bestFit="1" customWidth="1"/>
    <col min="3" max="3" width="34.28515625" bestFit="1" customWidth="1"/>
    <col min="4" max="4" width="59.85546875" customWidth="1"/>
  </cols>
  <sheetData>
    <row r="2" spans="1:4" ht="43.5">
      <c r="A2" t="s">
        <v>168</v>
      </c>
      <c r="B2" t="s">
        <v>169</v>
      </c>
      <c r="C2" t="s">
        <v>170</v>
      </c>
      <c r="D2" s="60" t="s">
        <v>171</v>
      </c>
    </row>
    <row r="3" spans="1:4">
      <c r="A3" t="s">
        <v>172</v>
      </c>
      <c r="C3" t="s">
        <v>173</v>
      </c>
      <c r="D3" t="s">
        <v>174</v>
      </c>
    </row>
    <row r="4" spans="1:4">
      <c r="A4" t="s">
        <v>175</v>
      </c>
      <c r="B4" t="s">
        <v>176</v>
      </c>
    </row>
    <row r="5" spans="1:4">
      <c r="A5" t="s">
        <v>177</v>
      </c>
    </row>
    <row r="6" spans="1:4">
      <c r="A6" t="s">
        <v>178</v>
      </c>
    </row>
    <row r="7" spans="1:4">
      <c r="A7" t="s">
        <v>179</v>
      </c>
    </row>
    <row r="8" spans="1:4">
      <c r="A8" t="s">
        <v>180</v>
      </c>
    </row>
    <row r="9" spans="1:4">
      <c r="A9" t="s">
        <v>181</v>
      </c>
    </row>
    <row r="11" spans="1:4">
      <c r="A11" t="s">
        <v>182</v>
      </c>
    </row>
    <row r="12" spans="1:4">
      <c r="A12" t="s">
        <v>183</v>
      </c>
    </row>
    <row r="13" spans="1:4">
      <c r="A13" t="s">
        <v>184</v>
      </c>
    </row>
    <row r="14" spans="1:4">
      <c r="A14" t="s">
        <v>185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294F4-1B0F-4FC6-A648-65EAD9412836}">
  <dimension ref="B2:K29"/>
  <sheetViews>
    <sheetView showGridLines="0" zoomScale="35" zoomScaleNormal="55" workbookViewId="0">
      <selection activeCell="D5" sqref="D5"/>
    </sheetView>
  </sheetViews>
  <sheetFormatPr defaultColWidth="10.5703125" defaultRowHeight="14.45"/>
  <cols>
    <col min="1" max="1" width="4.42578125" style="18" customWidth="1"/>
    <col min="2" max="2" width="3.7109375" style="18" customWidth="1"/>
    <col min="3" max="3" width="18.140625" style="18" customWidth="1"/>
    <col min="4" max="4" width="48.140625" style="18" customWidth="1"/>
    <col min="5" max="6" width="24.42578125" style="56" customWidth="1"/>
    <col min="7" max="7" width="42.85546875" style="56" customWidth="1"/>
    <col min="8" max="16384" width="10.5703125" style="18"/>
  </cols>
  <sheetData>
    <row r="2" spans="2:11">
      <c r="B2" s="55" t="s">
        <v>186</v>
      </c>
    </row>
    <row r="4" spans="2:11" ht="40.5" customHeight="1">
      <c r="D4" s="24" t="s">
        <v>187</v>
      </c>
      <c r="E4" s="24" t="s">
        <v>188</v>
      </c>
      <c r="F4" s="24" t="s">
        <v>104</v>
      </c>
      <c r="G4" s="24" t="s">
        <v>189</v>
      </c>
      <c r="K4"/>
    </row>
    <row r="5" spans="2:11" ht="41.1" customHeight="1">
      <c r="C5" s="46" t="s">
        <v>190</v>
      </c>
      <c r="D5" s="54" t="str">
        <f>LDAP_Security_ID_Creation!$C$2</f>
        <v>LDAP_Security_ID_Creation</v>
      </c>
      <c r="E5" s="72">
        <f>LDAP_Security_ID_Creation!$C$20</f>
        <v>2.7666666666666666</v>
      </c>
      <c r="F5" s="72">
        <f>LDAP_Security_ID_Creation!$C$21</f>
        <v>3.2163636363636363</v>
      </c>
      <c r="G5" s="57" t="str">
        <f>LDAP_Security_ID_Creation!$B$26</f>
        <v>Hors priorité</v>
      </c>
    </row>
    <row r="6" spans="2:11" ht="21" customHeight="1">
      <c r="C6" s="46" t="s">
        <v>191</v>
      </c>
      <c r="D6" s="54" t="str">
        <f>'strategic reporting'!$C$2</f>
        <v>Automation for strategic reporting - AI Data driven approach to operations financial management</v>
      </c>
      <c r="E6" s="72">
        <f>'strategic reporting'!$C$20</f>
        <v>2.5384615384615388</v>
      </c>
      <c r="F6" s="72">
        <f>'strategic reporting'!$C$21</f>
        <v>2.4733333333333336</v>
      </c>
      <c r="G6" s="57" t="str">
        <f>'strategic reporting'!$B$26</f>
        <v>Hors priorité</v>
      </c>
    </row>
    <row r="7" spans="2:11" ht="21" customHeight="1">
      <c r="C7" s="46" t="s">
        <v>192</v>
      </c>
      <c r="D7" s="54" t="str">
        <f>'GO Holiday'!$C$2</f>
        <v>GO Holidays perimeter automation</v>
      </c>
      <c r="E7" s="72">
        <f>'GO Holiday'!$C$20</f>
        <v>2.2153846153846155</v>
      </c>
      <c r="F7" s="72">
        <f>'GO Holiday'!$C$21</f>
        <v>3.5078088578088584</v>
      </c>
      <c r="G7" s="57" t="str">
        <f>'GO Holiday'!$B$26</f>
        <v>Hors priorité</v>
      </c>
    </row>
    <row r="8" spans="2:11" ht="21" customHeight="1">
      <c r="C8" s="46" t="s">
        <v>193</v>
      </c>
      <c r="D8" s="54" t="str">
        <f>'Regulatory Watch'!$C$2</f>
        <v>Regulatory watch</v>
      </c>
      <c r="E8" s="72">
        <f>'Regulatory Watch'!$C$20</f>
        <v>2.95</v>
      </c>
      <c r="F8" s="72">
        <f>'Regulatory Watch'!$C$21</f>
        <v>3.7724941724941723</v>
      </c>
      <c r="G8" s="57" t="str">
        <f>'Regulatory Watch'!$B$26</f>
        <v>Hors priorité</v>
      </c>
    </row>
    <row r="9" spans="2:11" ht="21" customHeight="1">
      <c r="C9" s="46" t="s">
        <v>194</v>
      </c>
      <c r="D9" s="54" t="str">
        <f>'Reception Email'!$C$2</f>
        <v>Reception Email</v>
      </c>
      <c r="E9" s="72">
        <f>'Reception Email'!$C$20</f>
        <v>4.3538461538461535</v>
      </c>
      <c r="F9" s="72">
        <f>'Reception Email'!$C$21</f>
        <v>3.9918414918414924</v>
      </c>
      <c r="G9" s="57" t="str">
        <f>'Reception Email'!$B$26</f>
        <v>Backlog projet</v>
      </c>
    </row>
    <row r="10" spans="2:11" ht="21" customHeight="1">
      <c r="C10" s="46" t="s">
        <v>195</v>
      </c>
      <c r="D10" s="54" t="str">
        <f>'Background Check'!$C$2</f>
        <v>Background Check</v>
      </c>
      <c r="E10" s="72">
        <f>'Background Check'!$C$20</f>
        <v>4.092307692307692</v>
      </c>
      <c r="F10" s="72">
        <f>'Background Check'!$C$21</f>
        <v>3.1834498834498834</v>
      </c>
      <c r="G10" s="57" t="str">
        <f>'Background Check'!$B$26</f>
        <v>Backlog projet</v>
      </c>
    </row>
    <row r="11" spans="2:11" ht="21" customHeight="1">
      <c r="C11" s="46" t="s">
        <v>196</v>
      </c>
      <c r="D11" s="54" t="str">
        <f>'Language Assessment'!$C$2</f>
        <v>Language Assessment</v>
      </c>
      <c r="E11" s="72">
        <f>'Language Assessment'!$C$20</f>
        <v>3.6769230769230772</v>
      </c>
      <c r="F11" s="72">
        <f>'Language Assessment'!$C$21</f>
        <v>3.1335664335664339</v>
      </c>
      <c r="G11" s="57" t="str">
        <f>'Language Assessment'!$B$26</f>
        <v>Backlog projet</v>
      </c>
    </row>
    <row r="12" spans="2:11" ht="21" customHeight="1">
      <c r="C12" s="46" t="s">
        <v>197</v>
      </c>
      <c r="D12" s="54" t="str">
        <f>'AD Program'!$C$2</f>
        <v>A/D Program</v>
      </c>
      <c r="E12" s="72">
        <f>'AD Program'!$C$20</f>
        <v>3.2461538461538462</v>
      </c>
      <c r="F12" s="72">
        <f>'AD Program'!$C$21</f>
        <v>2.683799533799534</v>
      </c>
      <c r="G12" s="57" t="str">
        <f>'AD Program'!$B$26</f>
        <v>Backlog projet</v>
      </c>
    </row>
    <row r="13" spans="2:11" ht="21" customHeight="1">
      <c r="C13" s="46" t="s">
        <v>198</v>
      </c>
      <c r="D13" s="54" t="str">
        <f>'Intelligence Gateway'!$C$2</f>
        <v>Intelligence Gateway</v>
      </c>
      <c r="E13" s="72">
        <f>'Intelligence Gateway'!$C$20</f>
        <v>2.9384615384615378</v>
      </c>
      <c r="F13" s="72">
        <f>'Intelligence Gateway'!$C$21</f>
        <v>3.9121212121212117</v>
      </c>
      <c r="G13" s="57" t="str">
        <f>'Intelligence Gateway'!$B$26</f>
        <v>Hors priorité</v>
      </c>
    </row>
    <row r="14" spans="2:11" ht="21" customHeight="1">
      <c r="C14" s="46" t="s">
        <v>199</v>
      </c>
      <c r="D14" s="54" t="str">
        <f>'Flight Schedule'!$C$2</f>
        <v>Flight Schedule</v>
      </c>
      <c r="E14" s="72">
        <f>'Flight Schedule'!$C$20</f>
        <v>4.2153846153846155</v>
      </c>
      <c r="F14" s="72">
        <f>'Flight Schedule'!$C$21</f>
        <v>3.4730769230769227</v>
      </c>
      <c r="G14" s="57" t="str">
        <f>'Flight Schedule'!$B$26</f>
        <v>Backlog projet</v>
      </c>
    </row>
    <row r="15" spans="2:11" ht="21" customHeight="1">
      <c r="C15" s="46" t="s">
        <v>200</v>
      </c>
      <c r="D15" s="54" t="str">
        <f>'Automatic Refund'!$C$2</f>
        <v>Automatic Refund</v>
      </c>
      <c r="E15" s="72">
        <f>'Automatic Refund'!$C$20</f>
        <v>3.4</v>
      </c>
      <c r="F15" s="72">
        <f>'Automatic Refund'!$C$21</f>
        <v>3.2862470862470863</v>
      </c>
      <c r="G15" s="57" t="str">
        <f>'Automatic Refund'!$B$26</f>
        <v>Backlog projet</v>
      </c>
    </row>
    <row r="16" spans="2:11" ht="21" customHeight="1">
      <c r="C16" s="46" t="s">
        <v>201</v>
      </c>
      <c r="D16" s="54" t="str">
        <f>PULSE!$C$2</f>
        <v>PULSE</v>
      </c>
      <c r="E16" s="72">
        <f>PULSE!$C$20</f>
        <v>3.1076923076923082</v>
      </c>
      <c r="F16" s="72">
        <f>PULSE!$C$21</f>
        <v>3.9272727272727272</v>
      </c>
      <c r="G16" s="57" t="str">
        <f>PULSE!$B$26</f>
        <v>Backlog projet</v>
      </c>
    </row>
    <row r="17" spans="3:7" ht="21" customHeight="1">
      <c r="C17" s="46" t="s">
        <v>202</v>
      </c>
      <c r="D17" s="54" t="str">
        <f>'Supplier Data Quality'!$C$2</f>
        <v>Supplier Data Quality</v>
      </c>
      <c r="E17" s="72">
        <f>'Supplier Data Quality'!$C$20</f>
        <v>4.1692307692307695</v>
      </c>
      <c r="F17" s="72">
        <f>'Supplier Data Quality'!$C$21</f>
        <v>4.063286713286713</v>
      </c>
      <c r="G17" s="57" t="str">
        <f>'Supplier Data Quality'!$B$26</f>
        <v>Hackathon</v>
      </c>
    </row>
    <row r="18" spans="3:7" ht="21" customHeight="1">
      <c r="C18" s="46" t="s">
        <v>203</v>
      </c>
      <c r="D18" s="54" t="str">
        <f>'Catalog Management'!$C$2</f>
        <v>Catalog Management</v>
      </c>
      <c r="E18" s="72">
        <f>'Catalog Management'!$C$20</f>
        <v>3.4307692307692315</v>
      </c>
      <c r="F18" s="72">
        <f>'Catalog Management'!$C$21</f>
        <v>3.2951048951048953</v>
      </c>
      <c r="G18" s="57" t="str">
        <f>'Catalog Management'!$B$26</f>
        <v>Backlog projet</v>
      </c>
    </row>
    <row r="19" spans="3:7" ht="21" customHeight="1">
      <c r="C19" s="46" t="s">
        <v>204</v>
      </c>
      <c r="D19" s="54" t="str">
        <f>'Finance Account'!$C$2</f>
        <v>Finance Account</v>
      </c>
      <c r="E19" s="72">
        <f>'Finance Account'!$C$20</f>
        <v>3.2615384615384615</v>
      </c>
      <c r="F19" s="72">
        <f>'Finance Account'!$C$21</f>
        <v>3.2655011655011656</v>
      </c>
      <c r="G19" s="57" t="str">
        <f>'Finance Account'!$B$26</f>
        <v>Backlog projet</v>
      </c>
    </row>
    <row r="20" spans="3:7" ht="21" customHeight="1">
      <c r="C20" s="46" t="s">
        <v>205</v>
      </c>
      <c r="D20" s="54" t="str">
        <f>'Purchase Order '!$C$2</f>
        <v>Purchase Order</v>
      </c>
      <c r="E20" s="72">
        <f>'Purchase Order '!$C$20</f>
        <v>1.5555555555555556</v>
      </c>
      <c r="F20" s="72">
        <f>'Purchase Order '!$C$21</f>
        <v>2.8563492063492064</v>
      </c>
      <c r="G20" s="57" t="str">
        <f>'Purchase Order '!$B$26</f>
        <v>Hors priorité</v>
      </c>
    </row>
    <row r="21" spans="3:7" ht="21" customHeight="1">
      <c r="C21" s="46" t="s">
        <v>206</v>
      </c>
      <c r="D21" s="54">
        <f>'Use Case #17'!$C$2</f>
        <v>0</v>
      </c>
      <c r="E21" s="72" t="e">
        <f>'Use Case #17'!$C$20</f>
        <v>#DIV/0!</v>
      </c>
      <c r="F21" s="72" t="e">
        <f>'Use Case #17'!$C$21</f>
        <v>#DIV/0!</v>
      </c>
      <c r="G21" s="57" t="e">
        <f>'Use Case #17'!$B$26</f>
        <v>#DIV/0!</v>
      </c>
    </row>
    <row r="29" spans="3:7" ht="23.45">
      <c r="E29" s="82" t="s">
        <v>207</v>
      </c>
    </row>
  </sheetData>
  <phoneticPr fontId="14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5D7AE6A71E274D90753E6B1C460BD9" ma:contentTypeVersion="13" ma:contentTypeDescription="Crée un document." ma:contentTypeScope="" ma:versionID="364b98c96e7ec82dcb000c4659bfb04d">
  <xsd:schema xmlns:xsd="http://www.w3.org/2001/XMLSchema" xmlns:xs="http://www.w3.org/2001/XMLSchema" xmlns:p="http://schemas.microsoft.com/office/2006/metadata/properties" xmlns:ns2="ded58eaa-6a77-4299-8a44-abcbbbb54252" xmlns:ns3="774101ba-226a-4381-84af-16e808876608" targetNamespace="http://schemas.microsoft.com/office/2006/metadata/properties" ma:root="true" ma:fieldsID="98a1de44ec3cda8ce6ce9639707a591f" ns2:_="" ns3:_="">
    <xsd:import namespace="ded58eaa-6a77-4299-8a44-abcbbbb54252"/>
    <xsd:import namespace="774101ba-226a-4381-84af-16e8088766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d58eaa-6a77-4299-8a44-abcbbbb542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3fc804f8-5688-4369-a638-782d369e90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101ba-226a-4381-84af-16e80887660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ffddca8-8a88-4f4f-8af2-069ce9f314e4}" ma:internalName="TaxCatchAll" ma:showField="CatchAllData" ma:web="774101ba-226a-4381-84af-16e8088766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4101ba-226a-4381-84af-16e808876608" xsi:nil="true"/>
    <lcf76f155ced4ddcb4097134ff3c332f xmlns="ded58eaa-6a77-4299-8a44-abcbbbb5425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45F388-F7B4-465C-B0FF-36CC79D7DAE4}"/>
</file>

<file path=customXml/itemProps2.xml><?xml version="1.0" encoding="utf-8"?>
<ds:datastoreItem xmlns:ds="http://schemas.openxmlformats.org/officeDocument/2006/customXml" ds:itemID="{6B5EFD3D-756C-4B70-B9BD-11812AAE0010}"/>
</file>

<file path=customXml/itemProps3.xml><?xml version="1.0" encoding="utf-8"?>
<ds:datastoreItem xmlns:ds="http://schemas.openxmlformats.org/officeDocument/2006/customXml" ds:itemID="{1F7BC6AB-6491-4BAC-96FD-B27F9370E6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Club Med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Glacet, Edith</dc:creator>
  <cp:keywords/>
  <dc:description/>
  <cp:lastModifiedBy/>
  <cp:revision/>
  <dcterms:created xsi:type="dcterms:W3CDTF">2024-05-29T09:09:19Z</dcterms:created>
  <dcterms:modified xsi:type="dcterms:W3CDTF">2026-02-21T22:21:37Z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0x010100E95D7AE6A71E274D90753E6B1C460BD9</vt:lpwstr>
  </property>
  <property fmtid="{D5CDD505-2E9C-101B-9397-08002B2CF9AE}" pid="3" name="MediaServiceImageTags">
    <vt:lpwstr/>
  </property>
  <property fmtid="{D5CDD505-2E9C-101B-9397-08002B2CF9AE}" pid="4" name="MSIP_Label_e0e70851-69cd-40cc-8b88-cc154bc836cc_Enabled">
    <vt:lpwstr>true</vt:lpwstr>
  </property>
  <property fmtid="{D5CDD505-2E9C-101B-9397-08002B2CF9AE}" pid="5" name="MSIP_Label_e0e70851-69cd-40cc-8b88-cc154bc836cc_SetDate">
    <vt:lpwstr>2026-02-19T13:00:19Z</vt:lpwstr>
  </property>
  <property fmtid="{D5CDD505-2E9C-101B-9397-08002B2CF9AE}" pid="6" name="MSIP_Label_e0e70851-69cd-40cc-8b88-cc154bc836cc_Method">
    <vt:lpwstr>Standard</vt:lpwstr>
  </property>
  <property fmtid="{D5CDD505-2E9C-101B-9397-08002B2CF9AE}" pid="7" name="MSIP_Label_e0e70851-69cd-40cc-8b88-cc154bc836cc_Name">
    <vt:lpwstr>e0e70851-69cd-40cc-8b88-cc154bc836cc</vt:lpwstr>
  </property>
  <property fmtid="{D5CDD505-2E9C-101B-9397-08002B2CF9AE}" pid="8" name="MSIP_Label_e0e70851-69cd-40cc-8b88-cc154bc836cc_SiteId">
    <vt:lpwstr>e0921cd5-8a3d-4e51-a56f-176998dbcf5c</vt:lpwstr>
  </property>
  <property fmtid="{D5CDD505-2E9C-101B-9397-08002B2CF9AE}" pid="9" name="MSIP_Label_e0e70851-69cd-40cc-8b88-cc154bc836cc_ActionId">
    <vt:lpwstr>f9f4a82d-2236-4b4f-b091-1f83a7e7b7f6</vt:lpwstr>
  </property>
  <property fmtid="{D5CDD505-2E9C-101B-9397-08002B2CF9AE}" pid="10" name="MSIP_Label_e0e70851-69cd-40cc-8b88-cc154bc836cc_ContentBits">
    <vt:lpwstr>0</vt:lpwstr>
  </property>
  <property fmtid="{D5CDD505-2E9C-101B-9397-08002B2CF9AE}" pid="11" name="MSIP_Label_e0e70851-69cd-40cc-8b88-cc154bc836cc_Tag">
    <vt:lpwstr>10, 3, 0, 2</vt:lpwstr>
  </property>
</Properties>
</file>